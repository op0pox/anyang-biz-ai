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PC\Desktop\2026\주민등록인구통계 공표\"/>
    </mc:Choice>
  </mc:AlternateContent>
  <bookViews>
    <workbookView xWindow="-120" yWindow="-120" windowWidth="29040" windowHeight="15720" tabRatio="885"/>
  </bookViews>
  <sheets>
    <sheet name="표1. 세대 및 인구" sheetId="42" r:id="rId1"/>
    <sheet name="표2. 동별 세대 및 인구" sheetId="43" r:id="rId2"/>
    <sheet name="표3. 연령별 인구(외국인제외)" sheetId="45" r:id="rId3"/>
    <sheet name="표4. 동별 연령별 인구(외국인제외)" sheetId="46" r:id="rId4"/>
    <sheet name="표5. 연령별 외국인 현황" sheetId="47" r:id="rId5"/>
    <sheet name="표6. 국적별 외국인" sheetId="48" r:id="rId6"/>
  </sheets>
  <definedNames>
    <definedName name="_xlnm._FilterDatabase" localSheetId="0" hidden="1">'표1. 세대 및 인구'!$A$1:$A$7</definedName>
    <definedName name="_xlnm._FilterDatabase" localSheetId="3" hidden="1">'표4. 동별 연령별 인구(외국인제외)'!$A$1:$A$126</definedName>
    <definedName name="_xlnm._FilterDatabase" localSheetId="4" hidden="1">'표5. 연령별 외국인 현황'!$A$3:$F$22</definedName>
    <definedName name="_xlnm._FilterDatabase" localSheetId="5" hidden="1">'표6. 국적별 외국인'!$A$3:$JV$6</definedName>
    <definedName name="_xlnm.Print_Area" localSheetId="0">'표1. 세대 및 인구'!$A$1:$K$7</definedName>
    <definedName name="_xlnm.Print_Area" localSheetId="1">'표2. 동별 세대 및 인구'!$A$1:$L$38</definedName>
    <definedName name="_xlnm.Print_Area" localSheetId="2">'표3. 연령별 인구(외국인제외)'!$A$1:$D$126</definedName>
    <definedName name="_xlnm.Print_Area" localSheetId="3">'표4. 동별 연령별 인구(외국인제외)'!$A$1:$CY$126</definedName>
    <definedName name="_xlnm.Print_Area" localSheetId="4">'표5. 연령별 외국인 현황'!$A$1:$D$22</definedName>
    <definedName name="_xlnm.Print_Area" localSheetId="5">'표6. 국적별 외국인'!$A$1:$WC$5</definedName>
    <definedName name="_xlnm.Print_Titles" localSheetId="2">'표3. 연령별 인구(외국인제외)'!$A:$A,'표3. 연령별 인구(외국인제외)'!$1:$5</definedName>
    <definedName name="_xlnm.Print_Titles" localSheetId="3">'표4. 동별 연령별 인구(외국인제외)'!$A:$A,'표4. 동별 연령별 인구(외국인제외)'!$1:$5</definedName>
    <definedName name="_xlnm.Print_Titles" localSheetId="4">'표5. 연령별 외국인 현황'!$A:$A,'표5. 연령별 외국인 현황'!$2:$5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48" l="1"/>
  <c r="C5" i="48"/>
  <c r="D5" i="48"/>
  <c r="C5" i="47" l="1"/>
  <c r="B5" i="47" s="1"/>
  <c r="D5" i="47"/>
  <c r="B6" i="45" l="1"/>
  <c r="B5" i="45" s="1"/>
  <c r="C6" i="45"/>
  <c r="C5" i="45" s="1"/>
  <c r="D6" i="45"/>
  <c r="D5" i="45" s="1"/>
  <c r="D6" i="43" l="1"/>
  <c r="D5" i="43" s="1"/>
  <c r="F6" i="43"/>
  <c r="F5" i="43" s="1"/>
  <c r="G6" i="43"/>
  <c r="G5" i="43" s="1"/>
  <c r="H6" i="43"/>
  <c r="I6" i="43"/>
  <c r="J6" i="43"/>
  <c r="K6" i="43"/>
  <c r="L6" i="43"/>
  <c r="C7" i="43"/>
  <c r="D7" i="43"/>
  <c r="E7" i="43"/>
  <c r="E6" i="43" s="1"/>
  <c r="C8" i="43"/>
  <c r="C6" i="43" s="1"/>
  <c r="C5" i="43" s="1"/>
  <c r="D8" i="43"/>
  <c r="E8" i="43"/>
  <c r="C9" i="43"/>
  <c r="D9" i="43"/>
  <c r="E9" i="43"/>
  <c r="C10" i="43"/>
  <c r="D10" i="43"/>
  <c r="E10" i="43"/>
  <c r="C11" i="43"/>
  <c r="D11" i="43"/>
  <c r="E11" i="43"/>
  <c r="C12" i="43"/>
  <c r="D12" i="43"/>
  <c r="E12" i="43"/>
  <c r="C13" i="43"/>
  <c r="D13" i="43"/>
  <c r="E13" i="43"/>
  <c r="C14" i="43"/>
  <c r="D14" i="43"/>
  <c r="E14" i="43"/>
  <c r="C15" i="43"/>
  <c r="D15" i="43"/>
  <c r="E15" i="43"/>
  <c r="C16" i="43"/>
  <c r="D16" i="43"/>
  <c r="E16" i="43"/>
  <c r="C17" i="43"/>
  <c r="D17" i="43"/>
  <c r="E17" i="43"/>
  <c r="C18" i="43"/>
  <c r="D18" i="43"/>
  <c r="E18" i="43"/>
  <c r="C19" i="43"/>
  <c r="D19" i="43"/>
  <c r="E19" i="43"/>
  <c r="C20" i="43"/>
  <c r="D20" i="43"/>
  <c r="E20" i="43"/>
  <c r="F21" i="43"/>
  <c r="G21" i="43"/>
  <c r="H21" i="43"/>
  <c r="H5" i="43" s="1"/>
  <c r="I21" i="43"/>
  <c r="I5" i="43" s="1"/>
  <c r="J21" i="43"/>
  <c r="J5" i="43" s="1"/>
  <c r="K21" i="43"/>
  <c r="K5" i="43" s="1"/>
  <c r="L21" i="43"/>
  <c r="L5" i="43" s="1"/>
  <c r="C22" i="43"/>
  <c r="D22" i="43"/>
  <c r="D21" i="43" s="1"/>
  <c r="E22" i="43"/>
  <c r="E21" i="43" s="1"/>
  <c r="C23" i="43"/>
  <c r="D23" i="43"/>
  <c r="E23" i="43"/>
  <c r="C24" i="43"/>
  <c r="C21" i="43" s="1"/>
  <c r="D24" i="43"/>
  <c r="E24" i="43"/>
  <c r="C25" i="43"/>
  <c r="D25" i="43"/>
  <c r="E25" i="43"/>
  <c r="C26" i="43"/>
  <c r="D26" i="43"/>
  <c r="E26" i="43"/>
  <c r="C27" i="43"/>
  <c r="D27" i="43"/>
  <c r="E27" i="43"/>
  <c r="C28" i="43"/>
  <c r="D28" i="43"/>
  <c r="E28" i="43"/>
  <c r="C29" i="43"/>
  <c r="D29" i="43"/>
  <c r="E29" i="43"/>
  <c r="C30" i="43"/>
  <c r="D30" i="43"/>
  <c r="E30" i="43"/>
  <c r="C31" i="43"/>
  <c r="D31" i="43"/>
  <c r="E31" i="43"/>
  <c r="C32" i="43"/>
  <c r="D32" i="43"/>
  <c r="E32" i="43"/>
  <c r="C33" i="43"/>
  <c r="D33" i="43"/>
  <c r="E33" i="43"/>
  <c r="C34" i="43"/>
  <c r="D34" i="43"/>
  <c r="E34" i="43"/>
  <c r="C35" i="43"/>
  <c r="D35" i="43"/>
  <c r="E35" i="43"/>
  <c r="C36" i="43"/>
  <c r="D36" i="43"/>
  <c r="E36" i="43"/>
  <c r="C37" i="43"/>
  <c r="D37" i="43"/>
  <c r="E37" i="43"/>
  <c r="C38" i="43"/>
  <c r="D38" i="43"/>
  <c r="E38" i="43"/>
  <c r="E5" i="43" l="1"/>
  <c r="E5" i="42"/>
  <c r="G5" i="42"/>
  <c r="H5" i="42"/>
  <c r="I5" i="42"/>
  <c r="J5" i="42"/>
  <c r="K5" i="42"/>
  <c r="F7" i="42" l="1"/>
  <c r="D7" i="42"/>
  <c r="C7" i="42"/>
  <c r="F6" i="42"/>
  <c r="D6" i="42"/>
  <c r="C6" i="42"/>
  <c r="B7" i="42" l="1"/>
  <c r="C5" i="42"/>
  <c r="D5" i="42"/>
  <c r="F5" i="42"/>
  <c r="B6" i="42"/>
  <c r="B5" i="42" s="1"/>
</calcChain>
</file>

<file path=xl/sharedStrings.xml><?xml version="1.0" encoding="utf-8"?>
<sst xmlns="http://schemas.openxmlformats.org/spreadsheetml/2006/main" count="1294" uniqueCount="417">
  <si>
    <t>계</t>
  </si>
  <si>
    <t>남</t>
  </si>
  <si>
    <t>여</t>
  </si>
  <si>
    <t>안양시</t>
  </si>
  <si>
    <t>세  대</t>
    <phoneticPr fontId="5" type="noConversion"/>
  </si>
  <si>
    <t>남</t>
    <phoneticPr fontId="5" type="noConversion"/>
  </si>
  <si>
    <t xml:space="preserve">  -만안구</t>
    <phoneticPr fontId="5" type="noConversion"/>
  </si>
  <si>
    <t xml:space="preserve">  -동안구</t>
    <phoneticPr fontId="5" type="noConversion"/>
  </si>
  <si>
    <t>구분</t>
    <phoneticPr fontId="5" type="noConversion"/>
  </si>
  <si>
    <t>총인구</t>
    <phoneticPr fontId="5" type="noConversion"/>
  </si>
  <si>
    <t>등록외국인</t>
    <phoneticPr fontId="5" type="noConversion"/>
  </si>
  <si>
    <t>내국인</t>
    <phoneticPr fontId="5" type="noConversion"/>
  </si>
  <si>
    <t>(단위: 세대, 명)</t>
    <phoneticPr fontId="5" type="noConversion"/>
  </si>
  <si>
    <t>2025.12.31.</t>
    <phoneticPr fontId="5" type="noConversion"/>
  </si>
  <si>
    <t xml:space="preserve"> 1. 세대 및 인구</t>
    <phoneticPr fontId="5" type="noConversion"/>
  </si>
  <si>
    <t>갈산동</t>
  </si>
  <si>
    <t>신촌동</t>
  </si>
  <si>
    <t>범계동</t>
  </si>
  <si>
    <t>호계3동</t>
  </si>
  <si>
    <t>호계2동</t>
  </si>
  <si>
    <t>호계1동</t>
  </si>
  <si>
    <t>귀인동</t>
  </si>
  <si>
    <t>평안동</t>
  </si>
  <si>
    <t>평촌동</t>
  </si>
  <si>
    <t>부림동</t>
  </si>
  <si>
    <t>인덕원동</t>
    <phoneticPr fontId="5" type="noConversion"/>
  </si>
  <si>
    <t>관양동</t>
    <phoneticPr fontId="5" type="noConversion"/>
  </si>
  <si>
    <t>달안동</t>
  </si>
  <si>
    <t>부흥동</t>
  </si>
  <si>
    <t>비산3동</t>
  </si>
  <si>
    <t>비산2동</t>
  </si>
  <si>
    <t>비산1동</t>
  </si>
  <si>
    <t>동안구</t>
    <phoneticPr fontId="5" type="noConversion"/>
  </si>
  <si>
    <t>호현동</t>
    <phoneticPr fontId="5" type="noConversion"/>
  </si>
  <si>
    <t>박달동</t>
    <phoneticPr fontId="5" type="noConversion"/>
  </si>
  <si>
    <t>충훈동</t>
    <phoneticPr fontId="5" type="noConversion"/>
  </si>
  <si>
    <t>석수2동</t>
  </si>
  <si>
    <t>석수1동</t>
  </si>
  <si>
    <t>안양9동</t>
  </si>
  <si>
    <t>안양8동</t>
  </si>
  <si>
    <t>안양7동</t>
  </si>
  <si>
    <t>안양6동</t>
  </si>
  <si>
    <t>안양5동</t>
  </si>
  <si>
    <t>안양4동</t>
  </si>
  <si>
    <t>안양3동</t>
  </si>
  <si>
    <t>안양2동</t>
  </si>
  <si>
    <t>안양1동</t>
  </si>
  <si>
    <t>만안구</t>
    <phoneticPr fontId="5" type="noConversion"/>
  </si>
  <si>
    <t>안양시</t>
    <phoneticPr fontId="5" type="noConversion"/>
  </si>
  <si>
    <t>세  대</t>
  </si>
  <si>
    <t>구분</t>
    <phoneticPr fontId="5" type="noConversion"/>
  </si>
  <si>
    <t>(단위: 세대, 명)</t>
    <phoneticPr fontId="5" type="noConversion"/>
  </si>
  <si>
    <t xml:space="preserve"> 2. 동별 세대 및 인구</t>
    <phoneticPr fontId="5" type="noConversion"/>
  </si>
  <si>
    <t>100세이상</t>
    <phoneticPr fontId="5" type="noConversion"/>
  </si>
  <si>
    <t>99 세</t>
  </si>
  <si>
    <t>98 세</t>
  </si>
  <si>
    <t>97 세</t>
  </si>
  <si>
    <t>96 세</t>
  </si>
  <si>
    <t>95 세</t>
  </si>
  <si>
    <t>95~99세</t>
    <phoneticPr fontId="5" type="noConversion"/>
  </si>
  <si>
    <t>94 세</t>
  </si>
  <si>
    <t>93 세</t>
  </si>
  <si>
    <t>92 세</t>
  </si>
  <si>
    <t>91 세</t>
  </si>
  <si>
    <t>90 세</t>
  </si>
  <si>
    <t>90~94세</t>
    <phoneticPr fontId="5" type="noConversion"/>
  </si>
  <si>
    <t>89 세</t>
  </si>
  <si>
    <t>88 세</t>
  </si>
  <si>
    <t>87 세</t>
  </si>
  <si>
    <t>86 세</t>
  </si>
  <si>
    <t>85 세</t>
  </si>
  <si>
    <t>85~89세</t>
    <phoneticPr fontId="5" type="noConversion"/>
  </si>
  <si>
    <t>84 세</t>
  </si>
  <si>
    <t>83 세</t>
  </si>
  <si>
    <t>82 세</t>
  </si>
  <si>
    <t>81 세</t>
  </si>
  <si>
    <t>80 세</t>
  </si>
  <si>
    <t>80~84세</t>
    <phoneticPr fontId="5" type="noConversion"/>
  </si>
  <si>
    <t>79 세</t>
  </si>
  <si>
    <t>78 세</t>
  </si>
  <si>
    <t>77 세</t>
  </si>
  <si>
    <t>76 세</t>
  </si>
  <si>
    <t>75 세</t>
  </si>
  <si>
    <t>75~79세</t>
    <phoneticPr fontId="5" type="noConversion"/>
  </si>
  <si>
    <t>74 세</t>
  </si>
  <si>
    <t>73 세</t>
  </si>
  <si>
    <t>72 세</t>
  </si>
  <si>
    <t>71 세</t>
  </si>
  <si>
    <t>70 세</t>
  </si>
  <si>
    <t>70~74세</t>
    <phoneticPr fontId="5" type="noConversion"/>
  </si>
  <si>
    <t>69 세</t>
  </si>
  <si>
    <t>68 세</t>
  </si>
  <si>
    <t>67 세</t>
  </si>
  <si>
    <t>66 세</t>
  </si>
  <si>
    <t>65 세</t>
  </si>
  <si>
    <t>65~69세</t>
    <phoneticPr fontId="5" type="noConversion"/>
  </si>
  <si>
    <t>64 세</t>
  </si>
  <si>
    <t>63 세</t>
  </si>
  <si>
    <t>62 세</t>
  </si>
  <si>
    <t>61 세</t>
  </si>
  <si>
    <t>60 세</t>
  </si>
  <si>
    <t>60~64세</t>
    <phoneticPr fontId="5" type="noConversion"/>
  </si>
  <si>
    <t>59 세</t>
  </si>
  <si>
    <t>58 세</t>
  </si>
  <si>
    <t>57 세</t>
  </si>
  <si>
    <t>56 세</t>
  </si>
  <si>
    <t>55 세</t>
  </si>
  <si>
    <t>55~59세</t>
    <phoneticPr fontId="5" type="noConversion"/>
  </si>
  <si>
    <t>54 세</t>
  </si>
  <si>
    <t>53 세</t>
  </si>
  <si>
    <t>52 세</t>
  </si>
  <si>
    <t>51 세</t>
  </si>
  <si>
    <t>50 세</t>
  </si>
  <si>
    <t>50~54세</t>
    <phoneticPr fontId="5" type="noConversion"/>
  </si>
  <si>
    <t>49 세</t>
  </si>
  <si>
    <t>48 세</t>
  </si>
  <si>
    <t>47 세</t>
  </si>
  <si>
    <t>46 세</t>
  </si>
  <si>
    <t>45 세</t>
  </si>
  <si>
    <t>45~49세</t>
    <phoneticPr fontId="5" type="noConversion"/>
  </si>
  <si>
    <t>44 세</t>
  </si>
  <si>
    <t>43 세</t>
  </si>
  <si>
    <t>42 세</t>
  </si>
  <si>
    <t>41 세</t>
  </si>
  <si>
    <t>40 세</t>
  </si>
  <si>
    <t>40~44세</t>
    <phoneticPr fontId="5" type="noConversion"/>
  </si>
  <si>
    <t>39 세</t>
  </si>
  <si>
    <t>38 세</t>
  </si>
  <si>
    <t>37 세</t>
  </si>
  <si>
    <t>36 세</t>
  </si>
  <si>
    <t>35 세</t>
  </si>
  <si>
    <t>35~39세</t>
    <phoneticPr fontId="5" type="noConversion"/>
  </si>
  <si>
    <t>34 세</t>
  </si>
  <si>
    <t>33 세</t>
  </si>
  <si>
    <t>32 세</t>
  </si>
  <si>
    <t>31 세</t>
  </si>
  <si>
    <t>30 세</t>
  </si>
  <si>
    <t>30~34세</t>
    <phoneticPr fontId="5" type="noConversion"/>
  </si>
  <si>
    <t>29 세</t>
  </si>
  <si>
    <t>28 세</t>
  </si>
  <si>
    <t>27 세</t>
  </si>
  <si>
    <t>26 세</t>
  </si>
  <si>
    <t>25 세</t>
  </si>
  <si>
    <t>25~29세</t>
    <phoneticPr fontId="5" type="noConversion"/>
  </si>
  <si>
    <t>24 세</t>
  </si>
  <si>
    <t>23 세</t>
  </si>
  <si>
    <t>22 세</t>
  </si>
  <si>
    <t>21 세</t>
  </si>
  <si>
    <t>20 세</t>
  </si>
  <si>
    <t>20~24세</t>
    <phoneticPr fontId="5" type="noConversion"/>
  </si>
  <si>
    <t>19 세</t>
  </si>
  <si>
    <t>18 세</t>
  </si>
  <si>
    <t>17 세</t>
  </si>
  <si>
    <t>16 세</t>
  </si>
  <si>
    <t>15 세</t>
  </si>
  <si>
    <t>15~19세</t>
    <phoneticPr fontId="5" type="noConversion"/>
  </si>
  <si>
    <t>14 세</t>
  </si>
  <si>
    <t>13 세</t>
  </si>
  <si>
    <t>12 세</t>
  </si>
  <si>
    <t>11 세</t>
  </si>
  <si>
    <t>10 세</t>
  </si>
  <si>
    <t>10~14세</t>
    <phoneticPr fontId="5" type="noConversion"/>
  </si>
  <si>
    <t>9 세</t>
  </si>
  <si>
    <t>8 세</t>
  </si>
  <si>
    <t>7 세</t>
  </si>
  <si>
    <t>6 세</t>
  </si>
  <si>
    <t>5 세</t>
  </si>
  <si>
    <t>5~9세</t>
    <phoneticPr fontId="5" type="noConversion"/>
  </si>
  <si>
    <t>4 세</t>
  </si>
  <si>
    <t>3 세</t>
  </si>
  <si>
    <t>2 세</t>
  </si>
  <si>
    <t>1 세</t>
  </si>
  <si>
    <t>0 세</t>
  </si>
  <si>
    <t>0~4세</t>
  </si>
  <si>
    <t>계</t>
    <phoneticPr fontId="5" type="noConversion"/>
  </si>
  <si>
    <t>안양시</t>
    <phoneticPr fontId="5" type="noConversion"/>
  </si>
  <si>
    <t>구분</t>
    <phoneticPr fontId="5" type="noConversion"/>
  </si>
  <si>
    <t>(단위 : 명)</t>
    <phoneticPr fontId="5" type="noConversion"/>
  </si>
  <si>
    <t>2025.12.31.</t>
    <phoneticPr fontId="5" type="noConversion"/>
  </si>
  <si>
    <t>3. 연령별 인구(외국인 제외)</t>
    <phoneticPr fontId="5" type="noConversion"/>
  </si>
  <si>
    <t>100세 이상</t>
  </si>
  <si>
    <t>95~99세</t>
  </si>
  <si>
    <t>90~94세</t>
  </si>
  <si>
    <t>85~89세</t>
  </si>
  <si>
    <t>80~84세</t>
  </si>
  <si>
    <t>75~79세</t>
  </si>
  <si>
    <t>70~74세</t>
  </si>
  <si>
    <t>65~69세</t>
  </si>
  <si>
    <t>60~64세</t>
  </si>
  <si>
    <t>55~59세</t>
  </si>
  <si>
    <t>50~54세</t>
  </si>
  <si>
    <t>45~49세</t>
  </si>
  <si>
    <t>40~44세</t>
  </si>
  <si>
    <t>35~39세</t>
  </si>
  <si>
    <t>30~34세</t>
  </si>
  <si>
    <t>25~29세</t>
  </si>
  <si>
    <t>20~24세</t>
  </si>
  <si>
    <t>15~19세</t>
  </si>
  <si>
    <t>10~14세</t>
  </si>
  <si>
    <t>5~9세</t>
  </si>
  <si>
    <t>인덕원동</t>
  </si>
  <si>
    <t>관양동</t>
  </si>
  <si>
    <t>동안구</t>
  </si>
  <si>
    <t>호현동</t>
  </si>
  <si>
    <t>박달동</t>
  </si>
  <si>
    <t>충훈동</t>
  </si>
  <si>
    <t>만안구</t>
  </si>
  <si>
    <t>구분</t>
  </si>
  <si>
    <t>(단위: 명)</t>
    <phoneticPr fontId="5" type="noConversion"/>
  </si>
  <si>
    <t>2025.12.31.</t>
    <phoneticPr fontId="5" type="noConversion"/>
  </si>
  <si>
    <t>4. 동별 연령별 인구(외국인 제외)</t>
    <phoneticPr fontId="5" type="noConversion"/>
  </si>
  <si>
    <t>80세 이상</t>
    <phoneticPr fontId="5" type="noConversion"/>
  </si>
  <si>
    <t>시군계</t>
    <phoneticPr fontId="5" type="noConversion"/>
  </si>
  <si>
    <t>(단위: 명)</t>
    <phoneticPr fontId="5" type="noConversion"/>
  </si>
  <si>
    <t>5. 연령별 외국인 현황</t>
    <phoneticPr fontId="5" type="noConversion"/>
  </si>
  <si>
    <t>기타</t>
    <phoneticPr fontId="34" type="noConversion"/>
  </si>
  <si>
    <t>사모아</t>
  </si>
  <si>
    <t>세이셸</t>
    <phoneticPr fontId="34" type="noConversion"/>
  </si>
  <si>
    <t>카보베르데</t>
  </si>
  <si>
    <t>홍콩거주난민</t>
  </si>
  <si>
    <t>교황청</t>
  </si>
  <si>
    <t>국제연합 전문기구</t>
  </si>
  <si>
    <t>나우루</t>
  </si>
  <si>
    <t>미이크로네시아</t>
  </si>
  <si>
    <t>세인트루시아</t>
  </si>
  <si>
    <t>세인트빈센트그레나딘</t>
  </si>
  <si>
    <t>영국해외영토시민</t>
  </si>
  <si>
    <t>코모로</t>
  </si>
  <si>
    <t>키리바시</t>
  </si>
  <si>
    <t>팔라우</t>
  </si>
  <si>
    <t>그레나다</t>
  </si>
  <si>
    <t>나미비아</t>
  </si>
  <si>
    <t>몰디브</t>
  </si>
  <si>
    <t>바베이도스</t>
  </si>
  <si>
    <t>벨리즈</t>
  </si>
  <si>
    <t>앤티카바부다</t>
  </si>
  <si>
    <t>영국외지시민</t>
  </si>
  <si>
    <t>통가</t>
  </si>
  <si>
    <t>지부티</t>
  </si>
  <si>
    <t>에스와티니</t>
  </si>
  <si>
    <t>코소보</t>
  </si>
  <si>
    <t>솔로몬군도</t>
  </si>
  <si>
    <t>차드</t>
  </si>
  <si>
    <t>마샬군도</t>
  </si>
  <si>
    <t>몰타</t>
  </si>
  <si>
    <t>적도기니</t>
  </si>
  <si>
    <t>레소토</t>
  </si>
  <si>
    <t>모리셔스</t>
  </si>
  <si>
    <t>세인트크리스토퍼네비스</t>
  </si>
  <si>
    <t>몬테네그로</t>
  </si>
  <si>
    <t>바하마</t>
  </si>
  <si>
    <t>에리트레아</t>
  </si>
  <si>
    <t>기니비사우</t>
  </si>
  <si>
    <t>파푸아뉴기니</t>
  </si>
  <si>
    <t>니제르</t>
  </si>
  <si>
    <t>보스니아-헤르체고비나</t>
  </si>
  <si>
    <t>아이슬란드</t>
  </si>
  <si>
    <t>가이아나</t>
  </si>
  <si>
    <t>북마케도니아</t>
  </si>
  <si>
    <t>중앙아프리카공화국</t>
  </si>
  <si>
    <t>모리타니</t>
  </si>
  <si>
    <t>키프로스</t>
  </si>
  <si>
    <t>바레인</t>
  </si>
  <si>
    <t>도미니카연방</t>
  </si>
  <si>
    <t>베냉</t>
  </si>
  <si>
    <t>바누아투</t>
  </si>
  <si>
    <t>국제연합</t>
  </si>
  <si>
    <t>소말리아</t>
  </si>
  <si>
    <t>트리니다드토바고</t>
  </si>
  <si>
    <t>콩고</t>
  </si>
  <si>
    <t>피지</t>
  </si>
  <si>
    <t>자메이카</t>
  </si>
  <si>
    <t>남수단공화국</t>
  </si>
  <si>
    <t>보츠와나</t>
  </si>
  <si>
    <t>알바니아</t>
  </si>
  <si>
    <t>부탄</t>
  </si>
  <si>
    <t>우루과이</t>
  </si>
  <si>
    <t>니카라과</t>
  </si>
  <si>
    <t>쿠웨이트</t>
  </si>
  <si>
    <t>토고</t>
  </si>
  <si>
    <t>쿠바</t>
  </si>
  <si>
    <t>룩셈부르크</t>
  </si>
  <si>
    <t>레바논</t>
  </si>
  <si>
    <t>모잠비크</t>
  </si>
  <si>
    <t>슬로베니아</t>
  </si>
  <si>
    <t>마다가스카르</t>
  </si>
  <si>
    <t>에스토니아</t>
  </si>
  <si>
    <t>부르키나파소</t>
  </si>
  <si>
    <t>카타르</t>
  </si>
  <si>
    <t>말라위</t>
  </si>
  <si>
    <t>온두라스</t>
  </si>
  <si>
    <t>엘살바도르</t>
  </si>
  <si>
    <t>파나마</t>
  </si>
  <si>
    <t>몰도바</t>
  </si>
  <si>
    <t>과테말라</t>
  </si>
  <si>
    <t>슬로바크</t>
  </si>
  <si>
    <t>세르비아</t>
  </si>
  <si>
    <t>오만</t>
  </si>
  <si>
    <t>영국외지민</t>
  </si>
  <si>
    <t>파라과이</t>
  </si>
  <si>
    <t>도미니카공화국</t>
  </si>
  <si>
    <t>볼리비아</t>
  </si>
  <si>
    <t>코스타리카</t>
  </si>
  <si>
    <t>크로아티아</t>
  </si>
  <si>
    <t>라트비아</t>
  </si>
  <si>
    <t>아르메니아</t>
  </si>
  <si>
    <t>브루나이</t>
  </si>
  <si>
    <t>잠비아</t>
  </si>
  <si>
    <t>앙골라</t>
  </si>
  <si>
    <t>시에라리온</t>
  </si>
  <si>
    <t>팔레스타인</t>
  </si>
  <si>
    <t>가봉</t>
  </si>
  <si>
    <t>짐바브웨</t>
  </si>
  <si>
    <t>감비아</t>
  </si>
  <si>
    <t>조지아</t>
  </si>
  <si>
    <t>마카오</t>
  </si>
  <si>
    <t>아이티</t>
  </si>
  <si>
    <t>리투아니아</t>
  </si>
  <si>
    <t>베네수엘라</t>
  </si>
  <si>
    <t>불가리아</t>
  </si>
  <si>
    <t>체코</t>
  </si>
  <si>
    <t>코트디부아르</t>
  </si>
  <si>
    <t>그리스</t>
  </si>
  <si>
    <t>아르헨티나</t>
  </si>
  <si>
    <t>포르투갈</t>
  </si>
  <si>
    <t>말리</t>
  </si>
  <si>
    <t>오스트리아</t>
  </si>
  <si>
    <t>기니</t>
  </si>
  <si>
    <t>헝가리</t>
  </si>
  <si>
    <t>이스라엘</t>
  </si>
  <si>
    <t>핀란드</t>
  </si>
  <si>
    <t>노르웨이</t>
  </si>
  <si>
    <t>루마니아</t>
  </si>
  <si>
    <t>세네갈</t>
  </si>
  <si>
    <t>아랍에미리트연합</t>
  </si>
  <si>
    <t>칠레</t>
  </si>
  <si>
    <t>에콰도르</t>
  </si>
  <si>
    <t>수단</t>
  </si>
  <si>
    <t>콩고민주공화국</t>
  </si>
  <si>
    <t>벨라루스</t>
  </si>
  <si>
    <t>스위스</t>
  </si>
  <si>
    <t>덴마크</t>
  </si>
  <si>
    <t>아제르바이잔</t>
  </si>
  <si>
    <t>페루</t>
  </si>
  <si>
    <t>라이베리아</t>
  </si>
  <si>
    <t>벨기에</t>
  </si>
  <si>
    <t>알제리</t>
  </si>
  <si>
    <t>투르크메니스탄</t>
  </si>
  <si>
    <t>탄자니아</t>
  </si>
  <si>
    <t>이라크</t>
  </si>
  <si>
    <t>르완다</t>
  </si>
  <si>
    <t>스웨덴</t>
  </si>
  <si>
    <t>요르단</t>
  </si>
  <si>
    <t>부룬디</t>
  </si>
  <si>
    <t>우간다</t>
  </si>
  <si>
    <t>아일랜드</t>
  </si>
  <si>
    <t>콜롬비아</t>
  </si>
  <si>
    <t>케냐</t>
  </si>
  <si>
    <t>폴란드</t>
  </si>
  <si>
    <t>튀니지</t>
  </si>
  <si>
    <t>뉴질랜드</t>
  </si>
  <si>
    <t>네덜란드</t>
  </si>
  <si>
    <t>카메룬</t>
  </si>
  <si>
    <t>리비아</t>
  </si>
  <si>
    <t>아프가니스탄</t>
  </si>
  <si>
    <t>싱가포르</t>
  </si>
  <si>
    <t>멕시코</t>
  </si>
  <si>
    <t>사우디아라비아</t>
  </si>
  <si>
    <t>스페인</t>
  </si>
  <si>
    <t>예멘공화국</t>
  </si>
  <si>
    <t>가나</t>
  </si>
  <si>
    <t>이탈리아</t>
  </si>
  <si>
    <t>이란</t>
  </si>
  <si>
    <t>에티오피아</t>
  </si>
  <si>
    <t>브라질</t>
  </si>
  <si>
    <t>타지키스탄</t>
  </si>
  <si>
    <t>모로코</t>
  </si>
  <si>
    <t>시리아</t>
  </si>
  <si>
    <t>오스트레일리아</t>
  </si>
  <si>
    <t>홍콩</t>
  </si>
  <si>
    <t>한국계러시아인</t>
  </si>
  <si>
    <t>나이지리아</t>
  </si>
  <si>
    <t>우크라이나</t>
  </si>
  <si>
    <t>이집트</t>
  </si>
  <si>
    <t>독일</t>
  </si>
  <si>
    <t>튀르키예</t>
  </si>
  <si>
    <t>티모르민주공화국</t>
  </si>
  <si>
    <t>캐나다</t>
  </si>
  <si>
    <t>남아프리카공화국</t>
  </si>
  <si>
    <t>말레이시아</t>
  </si>
  <si>
    <t>영국</t>
  </si>
  <si>
    <t>프랑스</t>
  </si>
  <si>
    <t>라오스</t>
  </si>
  <si>
    <t>키르기즈</t>
  </si>
  <si>
    <t>인도</t>
  </si>
  <si>
    <t>파키스탄</t>
  </si>
  <si>
    <t>타이완</t>
  </si>
  <si>
    <t>카자흐스탄</t>
  </si>
  <si>
    <t>러시아(연방)</t>
  </si>
  <si>
    <t>방글라데시</t>
  </si>
  <si>
    <t>일본</t>
  </si>
  <si>
    <t>스리랑카</t>
  </si>
  <si>
    <t>미국</t>
  </si>
  <si>
    <t>몽골</t>
  </si>
  <si>
    <t>타이</t>
  </si>
  <si>
    <t>필리핀</t>
  </si>
  <si>
    <t>미얀마</t>
  </si>
  <si>
    <t>인도네시아</t>
  </si>
  <si>
    <t>캄보디아</t>
  </si>
  <si>
    <t>우즈베키스탄</t>
  </si>
  <si>
    <t>네팔</t>
  </si>
  <si>
    <t>중국</t>
  </si>
  <si>
    <t>한국계중국인</t>
  </si>
  <si>
    <t>베트남</t>
  </si>
  <si>
    <t>총계</t>
    <phoneticPr fontId="5" type="noConversion"/>
  </si>
  <si>
    <t>구분</t>
    <phoneticPr fontId="5" type="noConversion"/>
  </si>
  <si>
    <t xml:space="preserve">    6. 국적별 외국인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</si>
</sst>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43" formatCode="_-* #,##0.00_-;\-* #,##0.00_-;_-* &quot;-&quot;??_-;_-@_-"/>
    <numFmt numFmtId="176" formatCode="#,##0;[Red]#,##0"/>
    <numFmt numFmtId="177" formatCode="_ * #,##0_ ;_ * \-#,##0_ ;_ * &quot;-&quot;_ ;_ @_ "/>
    <numFmt numFmtId="178" formatCode="_ * #,##0.00_ ;_ * \-#,##0.00_ ;_ * &quot;-&quot;??_ ;_ @_ "/>
    <numFmt numFmtId="179" formatCode="#,##0.0;\(#,##0.0\);\ &quot;-&quot;\ "/>
    <numFmt numFmtId="180" formatCode="&quot;A$&quot;\ #,##0.0;&quot;$&quot;\-#,##0.0"/>
    <numFmt numFmtId="181" formatCode="&quot;$&quot;#,##0;\(&quot;$&quot;#,##0\)"/>
    <numFmt numFmtId="182" formatCode="0_);\(0\)"/>
  </numFmts>
  <fonts count="36" x14ac:knownFonts="1">
    <font>
      <sz val="10"/>
      <name val="바탕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바탕"/>
      <family val="1"/>
      <charset val="129"/>
    </font>
    <font>
      <sz val="8"/>
      <name val="바탕"/>
      <family val="1"/>
      <charset val="129"/>
    </font>
    <font>
      <sz val="10"/>
      <name val="Arial"/>
      <family val="2"/>
    </font>
    <font>
      <u/>
      <sz val="10"/>
      <color indexed="36"/>
      <name val="바탕"/>
      <family val="1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8"/>
      <name val="Arial"/>
      <family val="2"/>
    </font>
    <font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ajor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131">
    <xf numFmtId="0" fontId="0" fillId="0" borderId="0"/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38" fontId="11" fillId="0" borderId="0" applyFont="0" applyFill="0" applyBorder="0" applyAlignment="0" applyProtection="0"/>
    <xf numFmtId="180" fontId="8" fillId="0" borderId="0"/>
    <xf numFmtId="178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1" fillId="0" borderId="0" applyFont="0" applyFill="0" applyBorder="0" applyAlignment="0" applyProtection="0"/>
    <xf numFmtId="181" fontId="8" fillId="0" borderId="0"/>
    <xf numFmtId="179" fontId="4" fillId="0" borderId="0"/>
    <xf numFmtId="38" fontId="12" fillId="2" borderId="0" applyNumberFormat="0" applyBorder="0" applyAlignment="0" applyProtection="0"/>
    <xf numFmtId="10" fontId="12" fillId="3" borderId="1" applyNumberFormat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0" fontId="4" fillId="0" borderId="0"/>
    <xf numFmtId="0" fontId="13" fillId="0" borderId="0"/>
    <xf numFmtId="10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177" fontId="9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41" fontId="1" fillId="0" borderId="0">
      <alignment vertical="center"/>
    </xf>
    <xf numFmtId="0" fontId="14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41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7">
    <xf numFmtId="0" fontId="0" fillId="0" borderId="0" xfId="0"/>
    <xf numFmtId="176" fontId="18" fillId="0" borderId="0" xfId="0" applyNumberFormat="1" applyFont="1" applyBorder="1" applyAlignment="1" applyProtection="1">
      <alignment horizontal="left" vertical="center"/>
      <protection locked="0"/>
    </xf>
    <xf numFmtId="176" fontId="18" fillId="0" borderId="0" xfId="0" applyNumberFormat="1" applyFont="1" applyAlignment="1" applyProtection="1">
      <alignment horizontal="right" vertical="center"/>
      <protection locked="0"/>
    </xf>
    <xf numFmtId="176" fontId="15" fillId="0" borderId="0" xfId="0" applyNumberFormat="1" applyFont="1" applyAlignment="1" applyProtection="1">
      <alignment horizontal="right" vertical="center"/>
      <protection locked="0"/>
    </xf>
    <xf numFmtId="176" fontId="16" fillId="0" borderId="7" xfId="0" applyNumberFormat="1" applyFont="1" applyFill="1" applyBorder="1" applyAlignment="1" applyProtection="1">
      <alignment horizontal="right" vertical="center"/>
      <protection locked="0"/>
    </xf>
    <xf numFmtId="176" fontId="16" fillId="0" borderId="0" xfId="0" applyNumberFormat="1" applyFont="1" applyFill="1" applyAlignment="1" applyProtection="1">
      <alignment horizontal="right" vertical="center"/>
      <protection locked="0"/>
    </xf>
    <xf numFmtId="176" fontId="19" fillId="0" borderId="0" xfId="0" applyNumberFormat="1" applyFont="1" applyAlignment="1" applyProtection="1">
      <alignment horizontal="center" vertical="center"/>
      <protection locked="0"/>
    </xf>
    <xf numFmtId="176" fontId="21" fillId="0" borderId="7" xfId="0" applyNumberFormat="1" applyFont="1" applyFill="1" applyBorder="1" applyAlignment="1" applyProtection="1">
      <alignment horizontal="right" vertical="center"/>
      <protection locked="0"/>
    </xf>
    <xf numFmtId="41" fontId="18" fillId="0" borderId="0" xfId="25" applyFont="1" applyFill="1" applyBorder="1" applyAlignment="1" applyProtection="1">
      <alignment horizontal="right" vertical="center"/>
    </xf>
    <xf numFmtId="41" fontId="22" fillId="0" borderId="0" xfId="25" applyFont="1" applyFill="1" applyBorder="1" applyAlignment="1" applyProtection="1">
      <alignment horizontal="right" vertical="center"/>
      <protection locked="0"/>
    </xf>
    <xf numFmtId="176" fontId="18" fillId="0" borderId="6" xfId="1" applyNumberFormat="1" applyFont="1" applyFill="1" applyBorder="1" applyAlignment="1" applyProtection="1">
      <alignment horizontal="distributed" vertical="distributed"/>
    </xf>
    <xf numFmtId="176" fontId="18" fillId="7" borderId="6" xfId="1" applyNumberFormat="1" applyFont="1" applyFill="1" applyBorder="1" applyAlignment="1" applyProtection="1">
      <alignment horizontal="distributed" vertical="distributed"/>
    </xf>
    <xf numFmtId="176" fontId="18" fillId="5" borderId="4" xfId="2" applyNumberFormat="1" applyFont="1" applyBorder="1" applyAlignment="1" applyProtection="1">
      <alignment horizontal="center" vertical="center"/>
    </xf>
    <xf numFmtId="176" fontId="18" fillId="5" borderId="1" xfId="2" applyNumberFormat="1" applyFont="1" applyBorder="1" applyAlignment="1" applyProtection="1">
      <alignment horizontal="center" vertical="center"/>
    </xf>
    <xf numFmtId="176" fontId="18" fillId="5" borderId="2" xfId="2" applyNumberFormat="1" applyFont="1" applyBorder="1" applyAlignment="1" applyProtection="1">
      <alignment horizontal="center" vertical="center"/>
    </xf>
    <xf numFmtId="176" fontId="21" fillId="0" borderId="7" xfId="0" applyNumberFormat="1" applyFont="1" applyFill="1" applyBorder="1" applyAlignment="1" applyProtection="1">
      <alignment horizontal="center" vertical="center"/>
      <protection locked="0"/>
    </xf>
    <xf numFmtId="176" fontId="15" fillId="0" borderId="0" xfId="0" applyNumberFormat="1" applyFont="1" applyAlignment="1" applyProtection="1">
      <alignment horizontal="center" vertical="center"/>
      <protection locked="0"/>
    </xf>
    <xf numFmtId="176" fontId="23" fillId="0" borderId="0" xfId="0" applyNumberFormat="1" applyFont="1" applyAlignment="1" applyProtection="1">
      <alignment horizontal="right" vertical="center"/>
      <protection locked="0"/>
    </xf>
    <xf numFmtId="176" fontId="23" fillId="0" borderId="0" xfId="0" applyNumberFormat="1" applyFont="1" applyFill="1" applyAlignment="1" applyProtection="1">
      <alignment horizontal="right" vertical="center"/>
      <protection locked="0"/>
    </xf>
    <xf numFmtId="176" fontId="24" fillId="0" borderId="0" xfId="0" applyNumberFormat="1" applyFont="1" applyAlignment="1" applyProtection="1">
      <alignment horizontal="right" vertical="center"/>
      <protection locked="0"/>
    </xf>
    <xf numFmtId="176" fontId="23" fillId="0" borderId="0" xfId="0" applyNumberFormat="1" applyFont="1" applyBorder="1" applyAlignment="1" applyProtection="1">
      <alignment horizontal="left" vertical="center"/>
      <protection locked="0"/>
    </xf>
    <xf numFmtId="176" fontId="23" fillId="0" borderId="0" xfId="0" applyNumberFormat="1" applyFont="1" applyFill="1" applyBorder="1" applyAlignment="1" applyProtection="1">
      <alignment horizontal="right" vertical="center"/>
    </xf>
    <xf numFmtId="176" fontId="23" fillId="0" borderId="0" xfId="0" applyNumberFormat="1" applyFont="1" applyFill="1" applyBorder="1" applyAlignment="1" applyProtection="1">
      <alignment horizontal="left" vertical="center"/>
      <protection locked="0"/>
    </xf>
    <xf numFmtId="176" fontId="23" fillId="0" borderId="0" xfId="0" applyNumberFormat="1" applyFont="1" applyFill="1" applyBorder="1" applyAlignment="1" applyProtection="1">
      <alignment horizontal="distributed" vertical="center"/>
      <protection locked="0"/>
    </xf>
    <xf numFmtId="176" fontId="23" fillId="0" borderId="0" xfId="0" applyNumberFormat="1" applyFont="1" applyFill="1" applyBorder="1" applyAlignment="1" applyProtection="1">
      <alignment horizontal="distributed" vertical="center"/>
    </xf>
    <xf numFmtId="176" fontId="23" fillId="0" borderId="0" xfId="0" applyNumberFormat="1" applyFont="1" applyFill="1" applyBorder="1" applyAlignment="1" applyProtection="1">
      <alignment horizontal="center" vertical="center" shrinkToFit="1"/>
    </xf>
    <xf numFmtId="176" fontId="23" fillId="0" borderId="0" xfId="0" applyNumberFormat="1" applyFont="1" applyBorder="1" applyAlignment="1" applyProtection="1">
      <alignment horizontal="right" vertical="center"/>
      <protection locked="0"/>
    </xf>
    <xf numFmtId="176" fontId="23" fillId="0" borderId="0" xfId="0" applyNumberFormat="1" applyFont="1" applyFill="1" applyBorder="1" applyAlignment="1" applyProtection="1">
      <alignment horizontal="right" vertical="center"/>
      <protection locked="0"/>
    </xf>
    <xf numFmtId="41" fontId="24" fillId="0" borderId="11" xfId="25" applyNumberFormat="1" applyFont="1" applyBorder="1" applyAlignment="1" applyProtection="1">
      <alignment horizontal="right" vertical="center" shrinkToFit="1"/>
      <protection locked="0"/>
    </xf>
    <xf numFmtId="41" fontId="23" fillId="9" borderId="11" xfId="25" applyNumberFormat="1" applyFont="1" applyFill="1" applyBorder="1" applyAlignment="1" applyProtection="1">
      <alignment horizontal="right" vertical="center" shrinkToFit="1"/>
    </xf>
    <xf numFmtId="41" fontId="23" fillId="0" borderId="11" xfId="124" applyFont="1" applyBorder="1" applyAlignment="1">
      <alignment horizontal="right" vertical="center" shrinkToFit="1"/>
    </xf>
    <xf numFmtId="41" fontId="24" fillId="0" borderId="12" xfId="25" applyNumberFormat="1" applyFont="1" applyBorder="1" applyAlignment="1" applyProtection="1">
      <alignment horizontal="right" vertical="center" shrinkToFit="1"/>
      <protection locked="0"/>
    </xf>
    <xf numFmtId="41" fontId="23" fillId="0" borderId="13" xfId="25" applyNumberFormat="1" applyFont="1" applyFill="1" applyBorder="1" applyAlignment="1" applyProtection="1">
      <alignment horizontal="right" vertical="center" shrinkToFit="1"/>
    </xf>
    <xf numFmtId="176" fontId="23" fillId="0" borderId="13" xfId="0" applyNumberFormat="1" applyFont="1" applyFill="1" applyBorder="1" applyAlignment="1" applyProtection="1">
      <alignment horizontal="distributed" vertical="distributed"/>
      <protection locked="0"/>
    </xf>
    <xf numFmtId="176" fontId="23" fillId="0" borderId="13" xfId="0" applyNumberFormat="1" applyFont="1" applyFill="1" applyBorder="1" applyAlignment="1" applyProtection="1">
      <alignment horizontal="center" vertical="center" shrinkToFit="1"/>
    </xf>
    <xf numFmtId="41" fontId="24" fillId="0" borderId="11" xfId="124" applyFont="1" applyBorder="1" applyAlignment="1">
      <alignment horizontal="right" vertical="center" shrinkToFit="1"/>
    </xf>
    <xf numFmtId="41" fontId="23" fillId="7" borderId="11" xfId="25" applyNumberFormat="1" applyFont="1" applyFill="1" applyBorder="1" applyAlignment="1" applyProtection="1">
      <alignment horizontal="right" vertical="center" shrinkToFit="1"/>
    </xf>
    <xf numFmtId="41" fontId="24" fillId="7" borderId="13" xfId="25" applyNumberFormat="1" applyFont="1" applyFill="1" applyBorder="1" applyAlignment="1" applyProtection="1">
      <alignment horizontal="right" vertical="center" shrinkToFit="1"/>
    </xf>
    <xf numFmtId="41" fontId="23" fillId="7" borderId="13" xfId="25" applyNumberFormat="1" applyFont="1" applyFill="1" applyBorder="1" applyAlignment="1" applyProtection="1">
      <alignment horizontal="right" vertical="center" shrinkToFit="1"/>
    </xf>
    <xf numFmtId="3" fontId="24" fillId="0" borderId="12" xfId="25" applyNumberFormat="1" applyFont="1" applyBorder="1" applyAlignment="1" applyProtection="1">
      <alignment horizontal="right" vertical="center" shrinkToFit="1"/>
      <protection locked="0"/>
    </xf>
    <xf numFmtId="41" fontId="25" fillId="10" borderId="11" xfId="25" applyNumberFormat="1" applyFont="1" applyFill="1" applyBorder="1" applyAlignment="1" applyProtection="1">
      <alignment horizontal="right" vertical="center" shrinkToFit="1"/>
    </xf>
    <xf numFmtId="41" fontId="26" fillId="10" borderId="13" xfId="25" applyNumberFormat="1" applyFont="1" applyFill="1" applyBorder="1" applyAlignment="1" applyProtection="1">
      <alignment horizontal="right" vertical="center" shrinkToFit="1"/>
    </xf>
    <xf numFmtId="41" fontId="25" fillId="10" borderId="13" xfId="25" applyNumberFormat="1" applyFont="1" applyFill="1" applyBorder="1" applyAlignment="1" applyProtection="1">
      <alignment horizontal="right" vertical="center" shrinkToFit="1"/>
    </xf>
    <xf numFmtId="176" fontId="23" fillId="0" borderId="0" xfId="0" applyNumberFormat="1" applyFont="1" applyAlignment="1" applyProtection="1">
      <alignment horizontal="center" vertical="center"/>
      <protection locked="0"/>
    </xf>
    <xf numFmtId="176" fontId="23" fillId="0" borderId="0" xfId="0" applyNumberFormat="1" applyFont="1" applyFill="1" applyAlignment="1" applyProtection="1">
      <alignment horizontal="center" vertical="center"/>
      <protection locked="0"/>
    </xf>
    <xf numFmtId="176" fontId="23" fillId="8" borderId="14" xfId="0" applyNumberFormat="1" applyFont="1" applyFill="1" applyBorder="1" applyAlignment="1" applyProtection="1">
      <alignment horizontal="center" vertical="center"/>
    </xf>
    <xf numFmtId="176" fontId="23" fillId="8" borderId="8" xfId="0" applyNumberFormat="1" applyFont="1" applyFill="1" applyBorder="1" applyAlignment="1" applyProtection="1">
      <alignment horizontal="center" vertical="center"/>
    </xf>
    <xf numFmtId="176" fontId="25" fillId="0" borderId="0" xfId="0" applyNumberFormat="1" applyFont="1" applyFill="1" applyAlignment="1" applyProtection="1">
      <alignment horizontal="right" vertical="center"/>
      <protection locked="0"/>
    </xf>
    <xf numFmtId="176" fontId="25" fillId="0" borderId="7" xfId="0" applyNumberFormat="1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vertical="center"/>
    </xf>
    <xf numFmtId="176" fontId="27" fillId="0" borderId="7" xfId="0" applyNumberFormat="1" applyFont="1" applyFill="1" applyBorder="1" applyAlignment="1" applyProtection="1">
      <alignment horizontal="right" vertical="center"/>
      <protection locked="0"/>
    </xf>
    <xf numFmtId="176" fontId="26" fillId="0" borderId="7" xfId="0" applyNumberFormat="1" applyFont="1" applyFill="1" applyBorder="1" applyAlignment="1" applyProtection="1">
      <alignment horizontal="right" vertical="center"/>
      <protection locked="0"/>
    </xf>
    <xf numFmtId="176" fontId="18" fillId="0" borderId="0" xfId="0" applyNumberFormat="1" applyFont="1" applyAlignment="1" applyProtection="1">
      <alignment horizontal="left" vertical="center"/>
      <protection locked="0"/>
    </xf>
    <xf numFmtId="176" fontId="18" fillId="0" borderId="0" xfId="0" applyNumberFormat="1" applyFont="1" applyBorder="1" applyAlignment="1" applyProtection="1">
      <alignment horizontal="right" vertical="center"/>
      <protection locked="0"/>
    </xf>
    <xf numFmtId="176" fontId="18" fillId="0" borderId="0" xfId="0" applyNumberFormat="1" applyFont="1" applyFill="1" applyBorder="1" applyAlignment="1" applyProtection="1">
      <alignment horizontal="right" vertical="center"/>
      <protection locked="0"/>
    </xf>
    <xf numFmtId="176" fontId="18" fillId="0" borderId="0" xfId="0" applyNumberFormat="1" applyFont="1" applyFill="1" applyBorder="1" applyAlignment="1" applyProtection="1">
      <alignment horizontal="left" vertical="center"/>
      <protection locked="0"/>
    </xf>
    <xf numFmtId="41" fontId="18" fillId="11" borderId="13" xfId="26" applyFont="1" applyFill="1" applyBorder="1" applyAlignment="1">
      <alignment horizontal="right" vertical="center"/>
    </xf>
    <xf numFmtId="176" fontId="17" fillId="11" borderId="13" xfId="0" applyNumberFormat="1" applyFont="1" applyFill="1" applyBorder="1" applyAlignment="1" applyProtection="1">
      <alignment horizontal="center" vertical="center"/>
      <protection locked="0"/>
    </xf>
    <xf numFmtId="176" fontId="18" fillId="0" borderId="0" xfId="0" applyNumberFormat="1" applyFont="1" applyFill="1" applyAlignment="1" applyProtection="1">
      <alignment horizontal="right" vertical="center"/>
      <protection locked="0"/>
    </xf>
    <xf numFmtId="176" fontId="18" fillId="0" borderId="0" xfId="0" applyNumberFormat="1" applyFont="1" applyFill="1" applyAlignment="1" applyProtection="1">
      <alignment horizontal="left" vertical="center"/>
      <protection locked="0"/>
    </xf>
    <xf numFmtId="0" fontId="18" fillId="0" borderId="0" xfId="48" applyFont="1" applyAlignment="1">
      <alignment vertical="center"/>
    </xf>
    <xf numFmtId="41" fontId="18" fillId="0" borderId="13" xfId="26" applyFont="1" applyBorder="1" applyAlignment="1">
      <alignment horizontal="right" vertical="center"/>
    </xf>
    <xf numFmtId="176" fontId="18" fillId="0" borderId="13" xfId="0" applyNumberFormat="1" applyFont="1" applyFill="1" applyBorder="1" applyAlignment="1" applyProtection="1">
      <alignment horizontal="center" vertical="center"/>
      <protection locked="0"/>
    </xf>
    <xf numFmtId="3" fontId="18" fillId="0" borderId="0" xfId="48" applyNumberFormat="1" applyFont="1" applyAlignment="1">
      <alignment vertical="center"/>
    </xf>
    <xf numFmtId="41" fontId="17" fillId="7" borderId="20" xfId="26" applyFont="1" applyFill="1" applyBorder="1" applyAlignment="1">
      <alignment horizontal="right" vertical="center"/>
    </xf>
    <xf numFmtId="176" fontId="17" fillId="7" borderId="21" xfId="126" applyNumberFormat="1" applyFont="1" applyFill="1" applyBorder="1" applyAlignment="1" applyProtection="1">
      <alignment horizontal="center" vertical="center"/>
      <protection locked="0"/>
    </xf>
    <xf numFmtId="176" fontId="18" fillId="0" borderId="0" xfId="0" applyNumberFormat="1" applyFont="1" applyAlignment="1" applyProtection="1">
      <alignment horizontal="center" vertical="center"/>
    </xf>
    <xf numFmtId="176" fontId="18" fillId="0" borderId="0" xfId="0" applyNumberFormat="1" applyFont="1" applyAlignment="1" applyProtection="1">
      <alignment horizontal="left" vertical="center"/>
    </xf>
    <xf numFmtId="176" fontId="18" fillId="12" borderId="2" xfId="0" applyNumberFormat="1" applyFont="1" applyFill="1" applyBorder="1" applyAlignment="1" applyProtection="1">
      <alignment horizontal="center" vertical="center"/>
    </xf>
    <xf numFmtId="176" fontId="18" fillId="12" borderId="1" xfId="0" applyNumberFormat="1" applyFont="1" applyFill="1" applyBorder="1" applyAlignment="1" applyProtection="1">
      <alignment horizontal="center" vertical="center"/>
    </xf>
    <xf numFmtId="176" fontId="18" fillId="8" borderId="1" xfId="0" applyNumberFormat="1" applyFont="1" applyFill="1" applyBorder="1" applyAlignment="1" applyProtection="1">
      <alignment horizontal="center" vertical="center"/>
    </xf>
    <xf numFmtId="176" fontId="17" fillId="0" borderId="0" xfId="0" applyNumberFormat="1" applyFont="1" applyBorder="1" applyAlignment="1" applyProtection="1">
      <alignment horizontal="right" vertical="center"/>
    </xf>
    <xf numFmtId="176" fontId="17" fillId="0" borderId="0" xfId="0" applyNumberFormat="1" applyFont="1" applyBorder="1" applyAlignment="1" applyProtection="1">
      <alignment horizontal="left" vertical="center"/>
    </xf>
    <xf numFmtId="176" fontId="17" fillId="0" borderId="7" xfId="0" applyNumberFormat="1" applyFont="1" applyBorder="1" applyAlignment="1" applyProtection="1">
      <alignment horizontal="right" vertical="center"/>
    </xf>
    <xf numFmtId="176" fontId="17" fillId="0" borderId="7" xfId="0" applyNumberFormat="1" applyFont="1" applyFill="1" applyBorder="1" applyAlignment="1" applyProtection="1">
      <alignment horizontal="center" vertical="center"/>
      <protection locked="0"/>
    </xf>
    <xf numFmtId="176" fontId="17" fillId="0" borderId="0" xfId="0" applyNumberFormat="1" applyFont="1" applyAlignment="1" applyProtection="1">
      <alignment horizontal="right" vertical="center"/>
      <protection locked="0"/>
    </xf>
    <xf numFmtId="176" fontId="17" fillId="0" borderId="0" xfId="0" applyNumberFormat="1" applyFont="1" applyAlignment="1" applyProtection="1">
      <alignment horizontal="left" vertical="center"/>
      <protection locked="0"/>
    </xf>
    <xf numFmtId="176" fontId="18" fillId="0" borderId="0" xfId="0" applyNumberFormat="1" applyFont="1" applyAlignment="1" applyProtection="1">
      <alignment horizontal="center" vertical="center"/>
      <protection locked="0"/>
    </xf>
    <xf numFmtId="41" fontId="18" fillId="11" borderId="13" xfId="127" applyFont="1" applyFill="1" applyBorder="1" applyAlignment="1">
      <alignment horizontal="right" vertical="center"/>
    </xf>
    <xf numFmtId="41" fontId="18" fillId="11" borderId="13" xfId="0" applyNumberFormat="1" applyFont="1" applyFill="1" applyBorder="1" applyAlignment="1">
      <alignment horizontal="right" vertical="center"/>
    </xf>
    <xf numFmtId="41" fontId="18" fillId="0" borderId="13" xfId="0" applyNumberFormat="1" applyFont="1" applyBorder="1" applyAlignment="1" applyProtection="1">
      <alignment horizontal="right" vertical="center"/>
      <protection locked="0"/>
    </xf>
    <xf numFmtId="41" fontId="18" fillId="0" borderId="13" xfId="0" applyNumberFormat="1" applyFont="1" applyBorder="1" applyAlignment="1">
      <alignment horizontal="right" vertical="center"/>
    </xf>
    <xf numFmtId="41" fontId="18" fillId="0" borderId="13" xfId="127" applyFont="1" applyBorder="1" applyAlignment="1" applyProtection="1">
      <alignment horizontal="right" vertical="center"/>
      <protection locked="0"/>
    </xf>
    <xf numFmtId="41" fontId="18" fillId="0" borderId="13" xfId="127" applyFont="1" applyBorder="1" applyAlignment="1">
      <alignment horizontal="right" vertical="center"/>
    </xf>
    <xf numFmtId="41" fontId="18" fillId="0" borderId="13" xfId="128" applyNumberFormat="1" applyFont="1" applyBorder="1" applyAlignment="1">
      <alignment horizontal="right" vertical="center"/>
    </xf>
    <xf numFmtId="41" fontId="18" fillId="0" borderId="13" xfId="129" applyNumberFormat="1" applyFont="1" applyBorder="1" applyAlignment="1">
      <alignment horizontal="right" vertical="center"/>
    </xf>
    <xf numFmtId="41" fontId="18" fillId="0" borderId="13" xfId="130" applyNumberFormat="1" applyFont="1" applyBorder="1" applyAlignment="1">
      <alignment horizontal="right" vertical="center"/>
    </xf>
    <xf numFmtId="176" fontId="18" fillId="0" borderId="13" xfId="0" applyNumberFormat="1" applyFont="1" applyBorder="1" applyAlignment="1" applyProtection="1">
      <alignment horizontal="center" vertical="center"/>
      <protection locked="0"/>
    </xf>
    <xf numFmtId="41" fontId="17" fillId="7" borderId="22" xfId="127" applyFont="1" applyFill="1" applyBorder="1" applyAlignment="1">
      <alignment horizontal="right" vertical="center"/>
    </xf>
    <xf numFmtId="176" fontId="17" fillId="7" borderId="22" xfId="0" applyNumberFormat="1" applyFont="1" applyFill="1" applyBorder="1" applyAlignment="1" applyProtection="1">
      <alignment horizontal="center" vertical="center"/>
      <protection locked="0"/>
    </xf>
    <xf numFmtId="176" fontId="18" fillId="13" borderId="14" xfId="0" applyNumberFormat="1" applyFont="1" applyFill="1" applyBorder="1" applyAlignment="1">
      <alignment horizontal="center" vertical="center"/>
    </xf>
    <xf numFmtId="176" fontId="18" fillId="13" borderId="8" xfId="0" applyNumberFormat="1" applyFont="1" applyFill="1" applyBorder="1" applyAlignment="1">
      <alignment horizontal="center" vertical="center"/>
    </xf>
    <xf numFmtId="176" fontId="18" fillId="13" borderId="21" xfId="0" applyNumberFormat="1" applyFont="1" applyFill="1" applyBorder="1" applyAlignment="1">
      <alignment horizontal="center" vertical="center"/>
    </xf>
    <xf numFmtId="176" fontId="17" fillId="0" borderId="0" xfId="0" applyNumberFormat="1" applyFont="1" applyAlignment="1" applyProtection="1">
      <alignment horizontal="center" vertical="center"/>
      <protection locked="0"/>
    </xf>
    <xf numFmtId="176" fontId="17" fillId="0" borderId="15" xfId="0" applyNumberFormat="1" applyFont="1" applyBorder="1" applyAlignment="1" applyProtection="1">
      <alignment horizontal="right" vertical="center"/>
      <protection locked="0"/>
    </xf>
    <xf numFmtId="176" fontId="17" fillId="0" borderId="15" xfId="0" applyNumberFormat="1" applyFont="1" applyBorder="1" applyAlignment="1" applyProtection="1">
      <alignment horizontal="center" vertical="center"/>
      <protection locked="0"/>
    </xf>
    <xf numFmtId="176" fontId="17" fillId="0" borderId="0" xfId="0" applyNumberFormat="1" applyFont="1" applyBorder="1" applyAlignment="1" applyProtection="1">
      <alignment horizontal="right" vertical="center"/>
      <protection locked="0"/>
    </xf>
    <xf numFmtId="176" fontId="22" fillId="0" borderId="0" xfId="0" applyNumberFormat="1" applyFont="1" applyAlignment="1" applyProtection="1">
      <alignment horizontal="right" vertical="center"/>
      <protection locked="0"/>
    </xf>
    <xf numFmtId="176" fontId="29" fillId="0" borderId="0" xfId="0" applyNumberFormat="1" applyFont="1" applyFill="1" applyBorder="1" applyAlignment="1" applyProtection="1">
      <alignment horizontal="right" vertical="center"/>
      <protection locked="0"/>
    </xf>
    <xf numFmtId="176" fontId="20" fillId="0" borderId="0" xfId="0" applyNumberFormat="1" applyFont="1" applyBorder="1" applyAlignment="1" applyProtection="1">
      <alignment horizontal="right" vertical="center"/>
      <protection locked="0"/>
    </xf>
    <xf numFmtId="0" fontId="29" fillId="0" borderId="0" xfId="0" applyFont="1" applyAlignment="1">
      <alignment vertical="center"/>
    </xf>
    <xf numFmtId="41" fontId="29" fillId="0" borderId="13" xfId="25" applyNumberFormat="1" applyFont="1" applyFill="1" applyBorder="1" applyAlignment="1" applyProtection="1">
      <alignment horizontal="right" vertical="center"/>
      <protection locked="0"/>
    </xf>
    <xf numFmtId="176" fontId="29" fillId="0" borderId="13" xfId="0" applyNumberFormat="1" applyFont="1" applyFill="1" applyBorder="1" applyAlignment="1" applyProtection="1">
      <alignment horizontal="center" vertical="center"/>
      <protection locked="0"/>
    </xf>
    <xf numFmtId="176" fontId="29" fillId="0" borderId="0" xfId="0" applyNumberFormat="1" applyFont="1" applyAlignment="1" applyProtection="1">
      <alignment horizontal="right" vertical="center"/>
      <protection locked="0"/>
    </xf>
    <xf numFmtId="176" fontId="29" fillId="0" borderId="0" xfId="0" applyNumberFormat="1" applyFont="1" applyBorder="1" applyAlignment="1" applyProtection="1">
      <alignment horizontal="right" vertical="center"/>
      <protection locked="0"/>
    </xf>
    <xf numFmtId="41" fontId="20" fillId="7" borderId="20" xfId="25" applyNumberFormat="1" applyFont="1" applyFill="1" applyBorder="1" applyAlignment="1" applyProtection="1">
      <alignment horizontal="right" vertical="center"/>
      <protection locked="0"/>
    </xf>
    <xf numFmtId="176" fontId="20" fillId="7" borderId="23" xfId="0" applyNumberFormat="1" applyFont="1" applyFill="1" applyBorder="1" applyAlignment="1" applyProtection="1">
      <alignment horizontal="center" vertical="center"/>
      <protection locked="0"/>
    </xf>
    <xf numFmtId="176" fontId="29" fillId="0" borderId="0" xfId="0" applyNumberFormat="1" applyFont="1" applyAlignment="1" applyProtection="1">
      <alignment horizontal="center" vertical="center"/>
      <protection locked="0"/>
    </xf>
    <xf numFmtId="176" fontId="29" fillId="0" borderId="0" xfId="0" applyNumberFormat="1" applyFont="1" applyBorder="1" applyAlignment="1" applyProtection="1">
      <alignment horizontal="center" vertical="center"/>
      <protection locked="0"/>
    </xf>
    <xf numFmtId="176" fontId="29" fillId="12" borderId="24" xfId="0" applyNumberFormat="1" applyFont="1" applyFill="1" applyBorder="1" applyAlignment="1" applyProtection="1">
      <alignment horizontal="center" vertical="center"/>
      <protection locked="0"/>
    </xf>
    <xf numFmtId="176" fontId="30" fillId="0" borderId="0" xfId="0" applyNumberFormat="1" applyFont="1" applyBorder="1" applyAlignment="1" applyProtection="1">
      <alignment horizontal="right" vertical="center"/>
      <protection locked="0"/>
    </xf>
    <xf numFmtId="176" fontId="17" fillId="0" borderId="0" xfId="0" applyNumberFormat="1" applyFont="1" applyFill="1" applyAlignment="1" applyProtection="1">
      <alignment horizontal="left" vertical="center"/>
      <protection locked="0"/>
    </xf>
    <xf numFmtId="176" fontId="18" fillId="14" borderId="0" xfId="0" applyNumberFormat="1" applyFont="1" applyFill="1" applyAlignment="1" applyProtection="1">
      <alignment horizontal="right" vertical="center"/>
      <protection locked="0"/>
    </xf>
    <xf numFmtId="176" fontId="18" fillId="14" borderId="0" xfId="0" applyNumberFormat="1" applyFont="1" applyFill="1" applyBorder="1" applyAlignment="1" applyProtection="1">
      <alignment horizontal="right" vertical="center"/>
      <protection locked="0"/>
    </xf>
    <xf numFmtId="176" fontId="31" fillId="0" borderId="0" xfId="0" applyNumberFormat="1" applyFont="1" applyAlignment="1" applyProtection="1">
      <alignment horizontal="right" vertical="center"/>
      <protection locked="0"/>
    </xf>
    <xf numFmtId="176" fontId="18" fillId="0" borderId="0" xfId="0" applyNumberFormat="1" applyFont="1" applyFill="1" applyBorder="1" applyAlignment="1" applyProtection="1">
      <alignment horizontal="center" vertical="center"/>
      <protection locked="0"/>
    </xf>
    <xf numFmtId="41" fontId="18" fillId="0" borderId="0" xfId="0" applyNumberFormat="1" applyFont="1" applyAlignment="1" applyProtection="1">
      <alignment horizontal="right" vertical="center"/>
      <protection locked="0"/>
    </xf>
    <xf numFmtId="41" fontId="18" fillId="0" borderId="0" xfId="25" applyNumberFormat="1" applyFont="1" applyFill="1" applyBorder="1" applyAlignment="1" applyProtection="1">
      <alignment horizontal="right" vertical="center"/>
      <protection locked="0"/>
    </xf>
    <xf numFmtId="41" fontId="18" fillId="0" borderId="0" xfId="25" applyNumberFormat="1" applyFont="1" applyFill="1" applyBorder="1" applyAlignment="1" applyProtection="1">
      <alignment vertical="center" shrinkToFit="1"/>
    </xf>
    <xf numFmtId="41" fontId="18" fillId="0" borderId="0" xfId="25" applyFont="1" applyFill="1" applyBorder="1" applyAlignment="1" applyProtection="1">
      <alignment horizontal="right" vertical="center"/>
      <protection locked="0"/>
    </xf>
    <xf numFmtId="41" fontId="18" fillId="0" borderId="0" xfId="0" applyNumberFormat="1" applyFont="1" applyAlignment="1">
      <alignment vertical="center"/>
    </xf>
    <xf numFmtId="41" fontId="29" fillId="0" borderId="0" xfId="26" applyFont="1" applyFill="1" applyBorder="1" applyAlignment="1" applyProtection="1">
      <alignment vertical="center" shrinkToFit="1"/>
    </xf>
    <xf numFmtId="41" fontId="31" fillId="0" borderId="0" xfId="26" applyFont="1" applyFill="1" applyBorder="1" applyAlignment="1" applyProtection="1">
      <alignment vertical="center" shrinkToFit="1"/>
    </xf>
    <xf numFmtId="41" fontId="29" fillId="0" borderId="0" xfId="25" applyNumberFormat="1" applyFont="1" applyFill="1" applyBorder="1" applyAlignment="1" applyProtection="1">
      <alignment vertical="center" shrinkToFit="1"/>
    </xf>
    <xf numFmtId="182" fontId="18" fillId="0" borderId="0" xfId="0" applyNumberFormat="1" applyFont="1" applyFill="1" applyBorder="1" applyAlignment="1" applyProtection="1">
      <alignment horizontal="distributed" vertical="center"/>
      <protection locked="0"/>
    </xf>
    <xf numFmtId="41" fontId="29" fillId="0" borderId="30" xfId="25" applyFont="1" applyFill="1" applyBorder="1" applyAlignment="1" applyProtection="1">
      <alignment horizontal="right" vertical="center"/>
      <protection locked="0"/>
    </xf>
    <xf numFmtId="41" fontId="29" fillId="0" borderId="13" xfId="25" applyFont="1" applyFill="1" applyBorder="1" applyAlignment="1" applyProtection="1">
      <alignment horizontal="right" vertical="center"/>
      <protection locked="0"/>
    </xf>
    <xf numFmtId="41" fontId="29" fillId="0" borderId="13" xfId="25" applyFont="1" applyFill="1" applyBorder="1" applyAlignment="1" applyProtection="1">
      <alignment vertical="center" shrinkToFit="1"/>
    </xf>
    <xf numFmtId="41" fontId="29" fillId="0" borderId="13" xfId="25" applyFont="1" applyBorder="1" applyAlignment="1" applyProtection="1">
      <alignment horizontal="right" vertical="center"/>
      <protection locked="0"/>
    </xf>
    <xf numFmtId="41" fontId="29" fillId="0" borderId="13" xfId="25" applyFont="1" applyBorder="1" applyAlignment="1">
      <alignment vertical="center" shrinkToFit="1"/>
    </xf>
    <xf numFmtId="41" fontId="20" fillId="7" borderId="13" xfId="26" applyFont="1" applyFill="1" applyBorder="1" applyAlignment="1">
      <alignment vertical="center" shrinkToFit="1"/>
    </xf>
    <xf numFmtId="41" fontId="20" fillId="7" borderId="13" xfId="25" applyFont="1" applyFill="1" applyBorder="1" applyAlignment="1">
      <alignment vertical="center" shrinkToFit="1"/>
    </xf>
    <xf numFmtId="176" fontId="29" fillId="0" borderId="31" xfId="0" applyNumberFormat="1" applyFont="1" applyFill="1" applyBorder="1" applyAlignment="1" applyProtection="1">
      <alignment horizontal="distributed" vertical="center"/>
      <protection locked="0"/>
    </xf>
    <xf numFmtId="176" fontId="32" fillId="0" borderId="0" xfId="0" applyNumberFormat="1" applyFont="1" applyBorder="1" applyAlignment="1" applyProtection="1">
      <alignment horizontal="right" vertical="center"/>
      <protection locked="0"/>
    </xf>
    <xf numFmtId="176" fontId="29" fillId="8" borderId="32" xfId="0" applyNumberFormat="1" applyFont="1" applyFill="1" applyBorder="1" applyAlignment="1" applyProtection="1">
      <alignment horizontal="center" vertical="center"/>
    </xf>
    <xf numFmtId="176" fontId="29" fillId="8" borderId="33" xfId="0" applyNumberFormat="1" applyFont="1" applyFill="1" applyBorder="1" applyAlignment="1" applyProtection="1">
      <alignment horizontal="center" vertical="center"/>
    </xf>
    <xf numFmtId="176" fontId="29" fillId="8" borderId="34" xfId="0" applyNumberFormat="1" applyFont="1" applyFill="1" applyBorder="1" applyAlignment="1" applyProtection="1">
      <alignment horizontal="center" vertical="center"/>
    </xf>
    <xf numFmtId="176" fontId="29" fillId="8" borderId="1" xfId="0" applyNumberFormat="1" applyFont="1" applyFill="1" applyBorder="1" applyAlignment="1" applyProtection="1">
      <alignment horizontal="center" vertical="center"/>
    </xf>
    <xf numFmtId="176" fontId="33" fillId="8" borderId="1" xfId="0" applyNumberFormat="1" applyFont="1" applyFill="1" applyBorder="1" applyAlignment="1" applyProtection="1">
      <alignment horizontal="center" vertical="center"/>
      <protection locked="0"/>
    </xf>
    <xf numFmtId="0" fontId="33" fillId="8" borderId="1" xfId="0" applyFont="1" applyFill="1" applyBorder="1" applyAlignment="1">
      <alignment horizontal="center" vertical="center"/>
    </xf>
    <xf numFmtId="176" fontId="17" fillId="0" borderId="0" xfId="0" applyNumberFormat="1" applyFont="1" applyBorder="1" applyAlignment="1" applyProtection="1">
      <alignment horizontal="center" vertical="center"/>
      <protection locked="0"/>
    </xf>
    <xf numFmtId="176" fontId="17" fillId="14" borderId="0" xfId="0" applyNumberFormat="1" applyFont="1" applyFill="1" applyBorder="1" applyAlignment="1" applyProtection="1">
      <alignment horizontal="center" vertical="center"/>
      <protection locked="0"/>
    </xf>
    <xf numFmtId="176" fontId="17" fillId="14" borderId="0" xfId="0" applyNumberFormat="1" applyFont="1" applyFill="1" applyAlignment="1" applyProtection="1">
      <alignment horizontal="center" vertical="center"/>
      <protection locked="0"/>
    </xf>
    <xf numFmtId="176" fontId="17" fillId="0" borderId="0" xfId="0" applyNumberFormat="1" applyFont="1" applyFill="1" applyAlignment="1" applyProtection="1">
      <alignment horizontal="center" vertical="center"/>
      <protection locked="0"/>
    </xf>
    <xf numFmtId="176" fontId="20" fillId="0" borderId="0" xfId="0" applyNumberFormat="1" applyFont="1" applyBorder="1" applyAlignment="1" applyProtection="1">
      <alignment horizontal="center" vertical="center"/>
      <protection locked="0"/>
    </xf>
    <xf numFmtId="176" fontId="35" fillId="0" borderId="0" xfId="0" applyNumberFormat="1" applyFont="1" applyFill="1" applyAlignment="1" applyProtection="1">
      <alignment horizontal="center" vertical="center"/>
      <protection locked="0"/>
    </xf>
    <xf numFmtId="176" fontId="20" fillId="0" borderId="0" xfId="0" applyNumberFormat="1" applyFont="1" applyFill="1" applyAlignment="1" applyProtection="1">
      <alignment horizontal="center" vertical="center"/>
      <protection locked="0"/>
    </xf>
    <xf numFmtId="176" fontId="32" fillId="0" borderId="0" xfId="0" applyNumberFormat="1" applyFont="1" applyBorder="1" applyAlignment="1" applyProtection="1">
      <alignment vertical="center"/>
      <protection locked="0"/>
    </xf>
    <xf numFmtId="176" fontId="15" fillId="0" borderId="0" xfId="0" applyNumberFormat="1" applyFont="1" applyAlignment="1" applyProtection="1">
      <alignment horizontal="center" vertical="center"/>
      <protection locked="0"/>
    </xf>
    <xf numFmtId="176" fontId="20" fillId="8" borderId="10" xfId="1" applyNumberFormat="1" applyFont="1" applyFill="1" applyBorder="1" applyAlignment="1" applyProtection="1">
      <alignment horizontal="center" vertical="distributed"/>
    </xf>
    <xf numFmtId="176" fontId="20" fillId="8" borderId="5" xfId="1" applyNumberFormat="1" applyFont="1" applyFill="1" applyBorder="1" applyAlignment="1" applyProtection="1">
      <alignment horizontal="center" vertical="distributed"/>
    </xf>
    <xf numFmtId="176" fontId="17" fillId="5" borderId="2" xfId="2" applyNumberFormat="1" applyFont="1" applyBorder="1" applyAlignment="1" applyProtection="1">
      <alignment horizontal="center" vertical="center"/>
    </xf>
    <xf numFmtId="176" fontId="17" fillId="5" borderId="3" xfId="2" applyNumberFormat="1" applyFont="1" applyBorder="1" applyAlignment="1" applyProtection="1">
      <alignment horizontal="center" vertical="center"/>
    </xf>
    <xf numFmtId="176" fontId="17" fillId="5" borderId="4" xfId="2" applyNumberFormat="1" applyFont="1" applyBorder="1" applyAlignment="1" applyProtection="1">
      <alignment horizontal="center" vertical="center"/>
    </xf>
    <xf numFmtId="176" fontId="17" fillId="5" borderId="8" xfId="2" applyNumberFormat="1" applyFont="1" applyBorder="1" applyAlignment="1" applyProtection="1">
      <alignment horizontal="center" vertical="center"/>
    </xf>
    <xf numFmtId="176" fontId="17" fillId="5" borderId="9" xfId="2" applyNumberFormat="1" applyFont="1" applyBorder="1" applyAlignment="1" applyProtection="1">
      <alignment horizontal="center" vertical="center"/>
    </xf>
    <xf numFmtId="176" fontId="28" fillId="0" borderId="0" xfId="0" applyNumberFormat="1" applyFont="1" applyAlignment="1" applyProtection="1">
      <alignment horizontal="center" vertical="center"/>
      <protection locked="0"/>
    </xf>
    <xf numFmtId="176" fontId="25" fillId="0" borderId="7" xfId="0" applyNumberFormat="1" applyFont="1" applyFill="1" applyBorder="1" applyAlignment="1" applyProtection="1">
      <alignment horizontal="center" vertical="center"/>
      <protection locked="0"/>
    </xf>
    <xf numFmtId="176" fontId="25" fillId="10" borderId="13" xfId="0" applyNumberFormat="1" applyFont="1" applyFill="1" applyBorder="1" applyAlignment="1" applyProtection="1">
      <alignment horizontal="distributed" vertical="distributed"/>
      <protection locked="0"/>
    </xf>
    <xf numFmtId="176" fontId="25" fillId="7" borderId="13" xfId="0" applyNumberFormat="1" applyFont="1" applyFill="1" applyBorder="1" applyAlignment="1" applyProtection="1">
      <alignment horizontal="distributed" vertical="distributed"/>
      <protection locked="0"/>
    </xf>
    <xf numFmtId="176" fontId="25" fillId="8" borderId="19" xfId="0" applyNumberFormat="1" applyFont="1" applyFill="1" applyBorder="1" applyAlignment="1" applyProtection="1">
      <alignment horizontal="center" vertical="distributed"/>
    </xf>
    <xf numFmtId="176" fontId="25" fillId="8" borderId="10" xfId="0" applyNumberFormat="1" applyFont="1" applyFill="1" applyBorder="1" applyAlignment="1" applyProtection="1">
      <alignment horizontal="center" vertical="distributed"/>
    </xf>
    <xf numFmtId="176" fontId="25" fillId="8" borderId="15" xfId="0" applyNumberFormat="1" applyFont="1" applyFill="1" applyBorder="1" applyAlignment="1" applyProtection="1">
      <alignment horizontal="center" vertical="distributed"/>
    </xf>
    <xf numFmtId="176" fontId="25" fillId="8" borderId="5" xfId="0" applyNumberFormat="1" applyFont="1" applyFill="1" applyBorder="1" applyAlignment="1" applyProtection="1">
      <alignment horizontal="center" vertical="distributed"/>
    </xf>
    <xf numFmtId="176" fontId="25" fillId="8" borderId="1" xfId="0" applyNumberFormat="1" applyFont="1" applyFill="1" applyBorder="1" applyAlignment="1" applyProtection="1">
      <alignment horizontal="center" vertical="center"/>
    </xf>
    <xf numFmtId="176" fontId="26" fillId="8" borderId="1" xfId="0" applyNumberFormat="1" applyFont="1" applyFill="1" applyBorder="1" applyAlignment="1" applyProtection="1">
      <alignment horizontal="center" vertical="center"/>
    </xf>
    <xf numFmtId="176" fontId="26" fillId="8" borderId="8" xfId="0" applyNumberFormat="1" applyFont="1" applyFill="1" applyBorder="1" applyAlignment="1" applyProtection="1">
      <alignment horizontal="center" vertical="center"/>
    </xf>
    <xf numFmtId="176" fontId="17" fillId="5" borderId="18" xfId="125" applyNumberFormat="1" applyFont="1" applyBorder="1" applyAlignment="1" applyProtection="1">
      <alignment horizontal="center" vertical="center"/>
    </xf>
    <xf numFmtId="176" fontId="17" fillId="5" borderId="17" xfId="125" applyNumberFormat="1" applyFont="1" applyBorder="1" applyAlignment="1" applyProtection="1">
      <alignment horizontal="center" vertical="center"/>
    </xf>
    <xf numFmtId="176" fontId="17" fillId="5" borderId="16" xfId="125" applyNumberFormat="1" applyFont="1" applyBorder="1" applyAlignment="1" applyProtection="1">
      <alignment horizontal="center" vertical="center"/>
    </xf>
    <xf numFmtId="176" fontId="25" fillId="8" borderId="2" xfId="0" applyNumberFormat="1" applyFont="1" applyFill="1" applyBorder="1" applyAlignment="1" applyProtection="1">
      <alignment horizontal="center" vertical="center"/>
    </xf>
    <xf numFmtId="176" fontId="17" fillId="8" borderId="16" xfId="0" applyNumberFormat="1" applyFont="1" applyFill="1" applyBorder="1" applyAlignment="1" applyProtection="1">
      <alignment horizontal="center" vertical="center"/>
    </xf>
    <xf numFmtId="176" fontId="17" fillId="8" borderId="4" xfId="0" applyNumberFormat="1" applyFont="1" applyFill="1" applyBorder="1" applyAlignment="1" applyProtection="1">
      <alignment horizontal="center" vertical="center"/>
    </xf>
    <xf numFmtId="176" fontId="17" fillId="12" borderId="18" xfId="0" applyNumberFormat="1" applyFont="1" applyFill="1" applyBorder="1" applyAlignment="1" applyProtection="1">
      <alignment horizontal="center" vertical="center"/>
    </xf>
    <xf numFmtId="176" fontId="17" fillId="12" borderId="17" xfId="0" applyNumberFormat="1" applyFont="1" applyFill="1" applyBorder="1" applyAlignment="1" applyProtection="1">
      <alignment horizontal="center" vertical="center"/>
    </xf>
    <xf numFmtId="176" fontId="17" fillId="12" borderId="16" xfId="0" applyNumberFormat="1" applyFont="1" applyFill="1" applyBorder="1" applyAlignment="1" applyProtection="1">
      <alignment horizontal="center" vertical="center"/>
    </xf>
    <xf numFmtId="176" fontId="17" fillId="13" borderId="1" xfId="0" applyNumberFormat="1" applyFont="1" applyFill="1" applyBorder="1" applyAlignment="1" applyProtection="1">
      <alignment horizontal="center" vertical="center"/>
      <protection locked="0"/>
    </xf>
    <xf numFmtId="0" fontId="0" fillId="13" borderId="3" xfId="0" applyFill="1" applyBorder="1" applyProtection="1">
      <protection locked="0"/>
    </xf>
    <xf numFmtId="0" fontId="0" fillId="13" borderId="4" xfId="0" applyFill="1" applyBorder="1" applyProtection="1">
      <protection locked="0"/>
    </xf>
    <xf numFmtId="176" fontId="25" fillId="13" borderId="1" xfId="0" applyNumberFormat="1" applyFont="1" applyFill="1" applyBorder="1" applyAlignment="1" applyProtection="1">
      <alignment horizontal="center" vertical="center"/>
      <protection locked="0"/>
    </xf>
    <xf numFmtId="0" fontId="0" fillId="13" borderId="9" xfId="0" applyFill="1" applyBorder="1" applyAlignment="1" applyProtection="1">
      <alignment horizontal="center"/>
      <protection locked="0"/>
    </xf>
    <xf numFmtId="176" fontId="15" fillId="0" borderId="0" xfId="0" applyNumberFormat="1" applyFont="1" applyBorder="1" applyAlignment="1" applyProtection="1">
      <alignment horizontal="center" vertical="center"/>
      <protection locked="0"/>
    </xf>
    <xf numFmtId="176" fontId="20" fillId="12" borderId="28" xfId="0" applyNumberFormat="1" applyFont="1" applyFill="1" applyBorder="1" applyAlignment="1" applyProtection="1">
      <alignment horizontal="center" vertical="center"/>
      <protection locked="0"/>
    </xf>
    <xf numFmtId="176" fontId="20" fillId="12" borderId="27" xfId="0" applyNumberFormat="1" applyFont="1" applyFill="1" applyBorder="1" applyAlignment="1" applyProtection="1">
      <alignment horizontal="center" vertical="center"/>
      <protection locked="0"/>
    </xf>
    <xf numFmtId="176" fontId="20" fillId="12" borderId="26" xfId="0" applyNumberFormat="1" applyFont="1" applyFill="1" applyBorder="1" applyAlignment="1" applyProtection="1">
      <alignment horizontal="center" vertical="center"/>
      <protection locked="0"/>
    </xf>
    <xf numFmtId="176" fontId="20" fillId="8" borderId="29" xfId="0" applyNumberFormat="1" applyFont="1" applyFill="1" applyBorder="1" applyAlignment="1" applyProtection="1">
      <alignment horizontal="center" vertical="center"/>
      <protection locked="0"/>
    </xf>
    <xf numFmtId="176" fontId="20" fillId="8" borderId="25" xfId="0" applyNumberFormat="1" applyFont="1" applyFill="1" applyBorder="1" applyAlignment="1" applyProtection="1">
      <alignment horizontal="center" vertical="center"/>
      <protection locked="0"/>
    </xf>
    <xf numFmtId="0" fontId="33" fillId="8" borderId="2" xfId="0" applyFont="1" applyFill="1" applyBorder="1" applyAlignment="1">
      <alignment horizontal="center" vertical="center"/>
    </xf>
    <xf numFmtId="0" fontId="33" fillId="8" borderId="3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 applyProtection="1">
      <alignment horizontal="center" vertical="center"/>
      <protection locked="0"/>
    </xf>
    <xf numFmtId="176" fontId="20" fillId="8" borderId="8" xfId="0" applyNumberFormat="1" applyFont="1" applyFill="1" applyBorder="1" applyAlignment="1" applyProtection="1">
      <alignment horizontal="center" vertical="center"/>
    </xf>
    <xf numFmtId="176" fontId="20" fillId="8" borderId="32" xfId="0" applyNumberFormat="1" applyFont="1" applyFill="1" applyBorder="1" applyAlignment="1" applyProtection="1">
      <alignment horizontal="center" vertical="center"/>
    </xf>
    <xf numFmtId="176" fontId="33" fillId="8" borderId="2" xfId="0" applyNumberFormat="1" applyFont="1" applyFill="1" applyBorder="1" applyAlignment="1" applyProtection="1">
      <alignment horizontal="center" vertical="center"/>
    </xf>
    <xf numFmtId="176" fontId="33" fillId="8" borderId="3" xfId="0" applyNumberFormat="1" applyFont="1" applyFill="1" applyBorder="1" applyAlignment="1" applyProtection="1">
      <alignment horizontal="center" vertical="center"/>
    </xf>
    <xf numFmtId="176" fontId="33" fillId="8" borderId="4" xfId="0" applyNumberFormat="1" applyFont="1" applyFill="1" applyBorder="1" applyAlignment="1" applyProtection="1">
      <alignment horizontal="center" vertical="center"/>
    </xf>
  </cellXfs>
  <cellStyles count="131">
    <cellStyle name="20% - 강조색1" xfId="1" builtinId="30"/>
    <cellStyle name="20% - 강조색6" xfId="2" builtinId="50"/>
    <cellStyle name="20% - 강조색6 2" xfId="125"/>
    <cellStyle name="40% - 강조색3 2" xfId="3"/>
    <cellStyle name="40% - 강조색3 3 2" xfId="120"/>
    <cellStyle name="40% - 강조색3 3 2 2" xfId="126"/>
    <cellStyle name="Comma [0]_CCOCPX" xfId="4"/>
    <cellStyle name="comma zerodec" xfId="5"/>
    <cellStyle name="Comma_Capex" xfId="6"/>
    <cellStyle name="Currency [0]_CCOCPX" xfId="7"/>
    <cellStyle name="Currency_CCOCPX" xfId="8"/>
    <cellStyle name="Currency1" xfId="9"/>
    <cellStyle name="Dollar (zero dec)" xfId="10"/>
    <cellStyle name="Grey" xfId="11"/>
    <cellStyle name="Input [yellow]" xfId="12"/>
    <cellStyle name="Milliers [0]_Arabian Spec" xfId="13"/>
    <cellStyle name="Milliers_Arabian Spec" xfId="14"/>
    <cellStyle name="Mon?aire [0]_Arabian Spec" xfId="15"/>
    <cellStyle name="Mon?aire_Arabian Spec" xfId="16"/>
    <cellStyle name="Normal - Style1" xfId="17"/>
    <cellStyle name="Normal_A" xfId="18"/>
    <cellStyle name="Percent [2]" xfId="19"/>
    <cellStyle name="뒤에 오는 하이퍼링크_3시군서식(국적별외국인)" xfId="20"/>
    <cellStyle name="쉼표 [0]" xfId="25" builtinId="6"/>
    <cellStyle name="쉼표 [0] 2" xfId="26"/>
    <cellStyle name="쉼표 [0] 3" xfId="27"/>
    <cellStyle name="쉼표 [0] 4" xfId="124"/>
    <cellStyle name="쉼표 [0] 5" xfId="127"/>
    <cellStyle name="스타일 1" xfId="21"/>
    <cellStyle name="콤마 [0]_(월초P)" xfId="22"/>
    <cellStyle name="콤마_11월 거래처별" xfId="23"/>
    <cellStyle name="표준" xfId="0" builtinId="0"/>
    <cellStyle name="표준 10" xfId="28"/>
    <cellStyle name="표준 10 3" xfId="29"/>
    <cellStyle name="표준 11" xfId="30"/>
    <cellStyle name="표준 11 2" xfId="31"/>
    <cellStyle name="표준 12" xfId="32"/>
    <cellStyle name="표준 12 2" xfId="33"/>
    <cellStyle name="표준 13" xfId="34"/>
    <cellStyle name="표준 13 2" xfId="35"/>
    <cellStyle name="표준 14" xfId="36"/>
    <cellStyle name="표준 14 2" xfId="37"/>
    <cellStyle name="표준 15" xfId="38"/>
    <cellStyle name="표준 15 2" xfId="39"/>
    <cellStyle name="표준 16" xfId="40"/>
    <cellStyle name="표준 16 2" xfId="41"/>
    <cellStyle name="표준 17" xfId="42"/>
    <cellStyle name="표준 17 2" xfId="43"/>
    <cellStyle name="표준 18" xfId="44"/>
    <cellStyle name="표준 18 2" xfId="45"/>
    <cellStyle name="표준 19" xfId="46"/>
    <cellStyle name="표준 19 2" xfId="47"/>
    <cellStyle name="표준 2" xfId="24"/>
    <cellStyle name="표준 2 2" xfId="48"/>
    <cellStyle name="표준 20" xfId="49"/>
    <cellStyle name="표준 20 2" xfId="50"/>
    <cellStyle name="표준 21" xfId="51"/>
    <cellStyle name="표준 21 2" xfId="52"/>
    <cellStyle name="표준 22" xfId="53"/>
    <cellStyle name="표준 22 2" xfId="54"/>
    <cellStyle name="표준 23" xfId="55"/>
    <cellStyle name="표준 23 2" xfId="56"/>
    <cellStyle name="표준 24" xfId="57"/>
    <cellStyle name="표준 25" xfId="121"/>
    <cellStyle name="표준 26" xfId="58"/>
    <cellStyle name="표준 27" xfId="59"/>
    <cellStyle name="표준 28" xfId="60"/>
    <cellStyle name="표준 29" xfId="61"/>
    <cellStyle name="표준 3" xfId="62"/>
    <cellStyle name="표준 3 2" xfId="63"/>
    <cellStyle name="표준 3 2 2" xfId="64"/>
    <cellStyle name="표준 3 3" xfId="65"/>
    <cellStyle name="표준 3 5" xfId="66"/>
    <cellStyle name="표준 3 8" xfId="67"/>
    <cellStyle name="표준 3 9" xfId="68"/>
    <cellStyle name="표준 30" xfId="69"/>
    <cellStyle name="표준 31" xfId="70"/>
    <cellStyle name="표준 32" xfId="71"/>
    <cellStyle name="표준 33" xfId="72"/>
    <cellStyle name="표준 34" xfId="73"/>
    <cellStyle name="표준 35" xfId="74"/>
    <cellStyle name="표준 36" xfId="75"/>
    <cellStyle name="표준 37" xfId="76"/>
    <cellStyle name="표준 38" xfId="77"/>
    <cellStyle name="표준 39" xfId="78"/>
    <cellStyle name="표준 4" xfId="79"/>
    <cellStyle name="표준 4 2" xfId="80"/>
    <cellStyle name="표준 4 2 2" xfId="130"/>
    <cellStyle name="표준 4 7" xfId="81"/>
    <cellStyle name="표준 40" xfId="82"/>
    <cellStyle name="표준 41" xfId="83"/>
    <cellStyle name="표준 42" xfId="84"/>
    <cellStyle name="표준 43" xfId="85"/>
    <cellStyle name="표준 44" xfId="86"/>
    <cellStyle name="표준 45" xfId="87"/>
    <cellStyle name="표준 46" xfId="88"/>
    <cellStyle name="표준 46 2" xfId="122"/>
    <cellStyle name="표준 48" xfId="89"/>
    <cellStyle name="표준 49" xfId="90"/>
    <cellStyle name="표준 5" xfId="91"/>
    <cellStyle name="표준 50" xfId="92"/>
    <cellStyle name="표준 51" xfId="93"/>
    <cellStyle name="표준 52" xfId="94"/>
    <cellStyle name="표준 53" xfId="95"/>
    <cellStyle name="표준 54" xfId="96"/>
    <cellStyle name="표준 55" xfId="97"/>
    <cellStyle name="표준 56" xfId="98"/>
    <cellStyle name="표준 57" xfId="99"/>
    <cellStyle name="표준 58" xfId="100"/>
    <cellStyle name="표준 59" xfId="101"/>
    <cellStyle name="표준 6" xfId="102"/>
    <cellStyle name="표준 6 6" xfId="103"/>
    <cellStyle name="표준 60" xfId="104"/>
    <cellStyle name="표준 61" xfId="105"/>
    <cellStyle name="표준 62" xfId="106"/>
    <cellStyle name="표준 63" xfId="107"/>
    <cellStyle name="표준 64" xfId="108"/>
    <cellStyle name="표준 65" xfId="109"/>
    <cellStyle name="표준 66" xfId="110"/>
    <cellStyle name="표준 67" xfId="111"/>
    <cellStyle name="표준 68" xfId="112"/>
    <cellStyle name="표준 7" xfId="113"/>
    <cellStyle name="표준 7 3" xfId="114"/>
    <cellStyle name="표준 70" xfId="123"/>
    <cellStyle name="표준 8" xfId="115"/>
    <cellStyle name="표준 8 3" xfId="116"/>
    <cellStyle name="표준 9" xfId="117"/>
    <cellStyle name="표준 9 3" xfId="118"/>
    <cellStyle name="표준 9 3 2" xfId="128"/>
    <cellStyle name="표준 9 5" xfId="119"/>
    <cellStyle name="표준 9 5 2" xfId="129"/>
  </cellStyles>
  <dxfs count="7">
    <dxf>
      <font>
        <b/>
        <color rgb="FFFF0000"/>
      </font>
    </dxf>
    <dxf>
      <font>
        <b/>
        <color rgb="FFFF0000"/>
      </font>
    </dxf>
    <dxf>
      <font>
        <b/>
        <i val="0"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CC"/>
      <color rgb="FFE2ECF8"/>
      <color rgb="FFBCCCE0"/>
      <color rgb="FFFDE9D9"/>
      <color rgb="FFF5EB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7"/>
  <sheetViews>
    <sheetView tabSelected="1" view="pageBreakPreview" zoomScaleNormal="100" zoomScaleSheetLayoutView="100" workbookViewId="0">
      <pane ySplit="4" topLeftCell="A5" activePane="bottomLeft" state="frozen"/>
      <selection pane="bottomLeft" activeCell="B12" sqref="B12"/>
    </sheetView>
  </sheetViews>
  <sheetFormatPr defaultColWidth="9.28515625" defaultRowHeight="21.75" customHeight="1" x14ac:dyDescent="0.15"/>
  <cols>
    <col min="1" max="1" width="16" style="1" customWidth="1"/>
    <col min="2" max="11" width="16" style="2" customWidth="1"/>
    <col min="12" max="16384" width="9.28515625" style="2"/>
  </cols>
  <sheetData>
    <row r="1" spans="1:11" s="3" customFormat="1" ht="42.75" customHeight="1" x14ac:dyDescent="0.15">
      <c r="A1" s="148" t="s">
        <v>14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</row>
    <row r="2" spans="1:11" s="5" customFormat="1" ht="21.75" customHeight="1" thickBot="1" x14ac:dyDescent="0.2">
      <c r="A2" s="15" t="s">
        <v>13</v>
      </c>
      <c r="B2" s="4"/>
      <c r="C2" s="4"/>
      <c r="D2" s="4"/>
      <c r="E2" s="4"/>
      <c r="F2" s="4"/>
      <c r="G2" s="4"/>
      <c r="H2" s="4"/>
      <c r="I2" s="4"/>
      <c r="J2" s="4"/>
      <c r="K2" s="7" t="s">
        <v>12</v>
      </c>
    </row>
    <row r="3" spans="1:11" s="6" customFormat="1" ht="21.75" customHeight="1" x14ac:dyDescent="0.15">
      <c r="A3" s="149" t="s">
        <v>8</v>
      </c>
      <c r="B3" s="151" t="s">
        <v>9</v>
      </c>
      <c r="C3" s="152"/>
      <c r="D3" s="153"/>
      <c r="E3" s="154" t="s">
        <v>4</v>
      </c>
      <c r="F3" s="151" t="s">
        <v>11</v>
      </c>
      <c r="G3" s="152"/>
      <c r="H3" s="153"/>
      <c r="I3" s="151" t="s">
        <v>10</v>
      </c>
      <c r="J3" s="152"/>
      <c r="K3" s="152"/>
    </row>
    <row r="4" spans="1:11" s="6" customFormat="1" ht="21.75" customHeight="1" x14ac:dyDescent="0.15">
      <c r="A4" s="150"/>
      <c r="B4" s="12" t="s">
        <v>0</v>
      </c>
      <c r="C4" s="13" t="s">
        <v>1</v>
      </c>
      <c r="D4" s="13" t="s">
        <v>2</v>
      </c>
      <c r="E4" s="155"/>
      <c r="F4" s="13" t="s">
        <v>0</v>
      </c>
      <c r="G4" s="13" t="s">
        <v>1</v>
      </c>
      <c r="H4" s="13" t="s">
        <v>2</v>
      </c>
      <c r="I4" s="13" t="s">
        <v>0</v>
      </c>
      <c r="J4" s="13" t="s">
        <v>5</v>
      </c>
      <c r="K4" s="14" t="s">
        <v>2</v>
      </c>
    </row>
    <row r="5" spans="1:11" ht="21.75" customHeight="1" x14ac:dyDescent="0.15">
      <c r="A5" s="11" t="s">
        <v>3</v>
      </c>
      <c r="B5" s="8">
        <f>SUM(B6:B7)</f>
        <v>570598</v>
      </c>
      <c r="C5" s="8">
        <f t="shared" ref="C5:K5" si="0">SUM(C6:C7)</f>
        <v>281296</v>
      </c>
      <c r="D5" s="8">
        <f t="shared" si="0"/>
        <v>289302</v>
      </c>
      <c r="E5" s="8">
        <f t="shared" si="0"/>
        <v>239981</v>
      </c>
      <c r="F5" s="8">
        <f t="shared" si="0"/>
        <v>563279</v>
      </c>
      <c r="G5" s="8">
        <f t="shared" si="0"/>
        <v>277696</v>
      </c>
      <c r="H5" s="8">
        <f t="shared" si="0"/>
        <v>285583</v>
      </c>
      <c r="I5" s="8">
        <f t="shared" si="0"/>
        <v>7319</v>
      </c>
      <c r="J5" s="8">
        <f t="shared" si="0"/>
        <v>3600</v>
      </c>
      <c r="K5" s="8">
        <f t="shared" si="0"/>
        <v>3719</v>
      </c>
    </row>
    <row r="6" spans="1:11" ht="21.75" customHeight="1" x14ac:dyDescent="0.15">
      <c r="A6" s="10" t="s">
        <v>6</v>
      </c>
      <c r="B6" s="8">
        <f>SUM(C6:D6)</f>
        <v>239149</v>
      </c>
      <c r="C6" s="9">
        <f t="shared" ref="C6:D7" si="1">SUM(G6,J6)</f>
        <v>119154</v>
      </c>
      <c r="D6" s="9">
        <f t="shared" si="1"/>
        <v>119995</v>
      </c>
      <c r="E6" s="8">
        <v>105522</v>
      </c>
      <c r="F6" s="8">
        <f>SUM(G6:H6)</f>
        <v>233749</v>
      </c>
      <c r="G6" s="8">
        <v>116392</v>
      </c>
      <c r="H6" s="8">
        <v>117357</v>
      </c>
      <c r="I6" s="8">
        <v>5400</v>
      </c>
      <c r="J6" s="8">
        <v>2762</v>
      </c>
      <c r="K6" s="8">
        <v>2638</v>
      </c>
    </row>
    <row r="7" spans="1:11" ht="21.75" customHeight="1" x14ac:dyDescent="0.15">
      <c r="A7" s="10" t="s">
        <v>7</v>
      </c>
      <c r="B7" s="8">
        <f>SUM(C7:D7)</f>
        <v>331449</v>
      </c>
      <c r="C7" s="9">
        <f t="shared" si="1"/>
        <v>162142</v>
      </c>
      <c r="D7" s="9">
        <f t="shared" si="1"/>
        <v>169307</v>
      </c>
      <c r="E7" s="8">
        <v>134459</v>
      </c>
      <c r="F7" s="8">
        <f>SUM(G7:H7)</f>
        <v>329530</v>
      </c>
      <c r="G7" s="8">
        <v>161304</v>
      </c>
      <c r="H7" s="8">
        <v>168226</v>
      </c>
      <c r="I7" s="8">
        <v>1919</v>
      </c>
      <c r="J7" s="8">
        <v>838</v>
      </c>
      <c r="K7" s="8">
        <v>1081</v>
      </c>
    </row>
  </sheetData>
  <mergeCells count="6">
    <mergeCell ref="A1:K1"/>
    <mergeCell ref="A3:A4"/>
    <mergeCell ref="B3:D3"/>
    <mergeCell ref="E3:E4"/>
    <mergeCell ref="F3:H3"/>
    <mergeCell ref="I3:K3"/>
  </mergeCells>
  <phoneticPr fontId="5" type="noConversion"/>
  <conditionalFormatting sqref="B5:K7">
    <cfRule type="expression" dxfId="6" priority="13">
      <formula>B5&lt;&gt;#REF!</formula>
    </cfRule>
  </conditionalFormatting>
  <pageMargins left="0" right="0" top="0" bottom="0" header="0" footer="0"/>
  <pageSetup paperSize="9" scale="55" orientation="portrait" r:id="rId1"/>
  <headerFooter alignWithMargins="0">
    <oddFooter xml:space="preserve">&amp;R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7"/>
  <sheetViews>
    <sheetView view="pageBreakPreview" zoomScaleNormal="10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41" sqref="D41"/>
    </sheetView>
  </sheetViews>
  <sheetFormatPr defaultColWidth="9.28515625" defaultRowHeight="20.25" customHeight="1" x14ac:dyDescent="0.15"/>
  <cols>
    <col min="1" max="1" width="2" style="21" customWidth="1"/>
    <col min="2" max="2" width="11.85546875" style="20" customWidth="1"/>
    <col min="3" max="5" width="14.7109375" style="17" customWidth="1"/>
    <col min="6" max="6" width="14.7109375" style="19" customWidth="1"/>
    <col min="7" max="12" width="14.7109375" style="17" customWidth="1"/>
    <col min="13" max="13" width="9.28515625" style="18"/>
    <col min="14" max="16384" width="9.28515625" style="17"/>
  </cols>
  <sheetData>
    <row r="1" spans="1:13" s="47" customFormat="1" ht="33.75" customHeight="1" x14ac:dyDescent="0.15">
      <c r="A1" s="156" t="s">
        <v>52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3" s="47" customFormat="1" ht="19.5" customHeight="1" thickBot="1" x14ac:dyDescent="0.2">
      <c r="A2" s="157" t="s">
        <v>13</v>
      </c>
      <c r="B2" s="157"/>
      <c r="C2" s="48"/>
      <c r="D2" s="48"/>
      <c r="E2" s="48"/>
      <c r="F2" s="51"/>
      <c r="G2" s="50"/>
      <c r="H2" s="49"/>
      <c r="I2" s="48"/>
      <c r="J2" s="48"/>
      <c r="K2" s="48"/>
      <c r="L2" s="48" t="s">
        <v>51</v>
      </c>
    </row>
    <row r="3" spans="1:13" s="43" customFormat="1" ht="20.25" customHeight="1" x14ac:dyDescent="0.15">
      <c r="A3" s="160" t="s">
        <v>50</v>
      </c>
      <c r="B3" s="161"/>
      <c r="C3" s="164" t="s">
        <v>9</v>
      </c>
      <c r="D3" s="164"/>
      <c r="E3" s="164"/>
      <c r="F3" s="165" t="s">
        <v>49</v>
      </c>
      <c r="G3" s="167" t="s">
        <v>11</v>
      </c>
      <c r="H3" s="168"/>
      <c r="I3" s="169"/>
      <c r="J3" s="164" t="s">
        <v>10</v>
      </c>
      <c r="K3" s="164"/>
      <c r="L3" s="170"/>
      <c r="M3" s="44"/>
    </row>
    <row r="4" spans="1:13" s="43" customFormat="1" ht="20.25" customHeight="1" x14ac:dyDescent="0.15">
      <c r="A4" s="162"/>
      <c r="B4" s="163"/>
      <c r="C4" s="46" t="s">
        <v>0</v>
      </c>
      <c r="D4" s="46" t="s">
        <v>1</v>
      </c>
      <c r="E4" s="46" t="s">
        <v>2</v>
      </c>
      <c r="F4" s="166"/>
      <c r="G4" s="46" t="s">
        <v>0</v>
      </c>
      <c r="H4" s="46" t="s">
        <v>1</v>
      </c>
      <c r="I4" s="46" t="s">
        <v>2</v>
      </c>
      <c r="J4" s="46" t="s">
        <v>0</v>
      </c>
      <c r="K4" s="46" t="s">
        <v>1</v>
      </c>
      <c r="L4" s="45" t="s">
        <v>2</v>
      </c>
      <c r="M4" s="44"/>
    </row>
    <row r="5" spans="1:13" s="26" customFormat="1" ht="20.25" customHeight="1" x14ac:dyDescent="0.15">
      <c r="A5" s="158" t="s">
        <v>48</v>
      </c>
      <c r="B5" s="158"/>
      <c r="C5" s="42">
        <f t="shared" ref="C5:L5" si="0">SUM(C6,C21)</f>
        <v>570598</v>
      </c>
      <c r="D5" s="42">
        <f t="shared" si="0"/>
        <v>281296</v>
      </c>
      <c r="E5" s="42">
        <f t="shared" si="0"/>
        <v>289302</v>
      </c>
      <c r="F5" s="41">
        <f t="shared" si="0"/>
        <v>239981</v>
      </c>
      <c r="G5" s="40">
        <f t="shared" si="0"/>
        <v>563279</v>
      </c>
      <c r="H5" s="40">
        <f t="shared" si="0"/>
        <v>277696</v>
      </c>
      <c r="I5" s="40">
        <f t="shared" si="0"/>
        <v>285583</v>
      </c>
      <c r="J5" s="40">
        <f t="shared" si="0"/>
        <v>7319</v>
      </c>
      <c r="K5" s="40">
        <f t="shared" si="0"/>
        <v>3600</v>
      </c>
      <c r="L5" s="40">
        <f t="shared" si="0"/>
        <v>3719</v>
      </c>
      <c r="M5" s="27"/>
    </row>
    <row r="6" spans="1:13" s="26" customFormat="1" ht="20.25" customHeight="1" x14ac:dyDescent="0.15">
      <c r="A6" s="159" t="s">
        <v>47</v>
      </c>
      <c r="B6" s="159"/>
      <c r="C6" s="38">
        <f t="shared" ref="C6:L6" si="1">SUM(C7:C20)</f>
        <v>239149</v>
      </c>
      <c r="D6" s="38">
        <f t="shared" si="1"/>
        <v>119154</v>
      </c>
      <c r="E6" s="38">
        <f t="shared" si="1"/>
        <v>119995</v>
      </c>
      <c r="F6" s="37">
        <f t="shared" si="1"/>
        <v>105522</v>
      </c>
      <c r="G6" s="36">
        <f t="shared" si="1"/>
        <v>233749</v>
      </c>
      <c r="H6" s="36">
        <f t="shared" si="1"/>
        <v>116392</v>
      </c>
      <c r="I6" s="36">
        <f t="shared" si="1"/>
        <v>117357</v>
      </c>
      <c r="J6" s="36">
        <f t="shared" si="1"/>
        <v>5400</v>
      </c>
      <c r="K6" s="36">
        <f t="shared" si="1"/>
        <v>2762</v>
      </c>
      <c r="L6" s="36">
        <f t="shared" si="1"/>
        <v>2638</v>
      </c>
      <c r="M6" s="27"/>
    </row>
    <row r="7" spans="1:13" s="26" customFormat="1" ht="20.25" customHeight="1" x14ac:dyDescent="0.15">
      <c r="A7" s="34"/>
      <c r="B7" s="33" t="s">
        <v>46</v>
      </c>
      <c r="C7" s="32">
        <f t="shared" ref="C7:C20" si="2">G7+J7</f>
        <v>18948</v>
      </c>
      <c r="D7" s="32">
        <f t="shared" ref="D7:D20" si="3">H7+K7</f>
        <v>9472</v>
      </c>
      <c r="E7" s="32">
        <f t="shared" ref="E7:E20" si="4">I7+L7</f>
        <v>9476</v>
      </c>
      <c r="F7" s="39">
        <v>7949</v>
      </c>
      <c r="G7" s="30">
        <v>18504</v>
      </c>
      <c r="H7" s="30">
        <v>9221</v>
      </c>
      <c r="I7" s="30">
        <v>9283</v>
      </c>
      <c r="J7" s="29">
        <v>444</v>
      </c>
      <c r="K7" s="28">
        <v>251</v>
      </c>
      <c r="L7" s="28">
        <v>193</v>
      </c>
      <c r="M7" s="27"/>
    </row>
    <row r="8" spans="1:13" s="26" customFormat="1" ht="20.25" customHeight="1" x14ac:dyDescent="0.15">
      <c r="A8" s="34"/>
      <c r="B8" s="33" t="s">
        <v>45</v>
      </c>
      <c r="C8" s="32">
        <f t="shared" si="2"/>
        <v>22879</v>
      </c>
      <c r="D8" s="32">
        <f t="shared" si="3"/>
        <v>11470</v>
      </c>
      <c r="E8" s="32">
        <f t="shared" si="4"/>
        <v>11409</v>
      </c>
      <c r="F8" s="39">
        <v>10732</v>
      </c>
      <c r="G8" s="30">
        <v>22147</v>
      </c>
      <c r="H8" s="30">
        <v>11099</v>
      </c>
      <c r="I8" s="30">
        <v>11048</v>
      </c>
      <c r="J8" s="29">
        <v>732</v>
      </c>
      <c r="K8" s="28">
        <v>371</v>
      </c>
      <c r="L8" s="28">
        <v>361</v>
      </c>
      <c r="M8" s="27"/>
    </row>
    <row r="9" spans="1:13" s="26" customFormat="1" ht="20.25" customHeight="1" x14ac:dyDescent="0.15">
      <c r="A9" s="34"/>
      <c r="B9" s="33" t="s">
        <v>44</v>
      </c>
      <c r="C9" s="32">
        <f t="shared" si="2"/>
        <v>15348</v>
      </c>
      <c r="D9" s="32">
        <f t="shared" si="3"/>
        <v>7551</v>
      </c>
      <c r="E9" s="32">
        <f t="shared" si="4"/>
        <v>7797</v>
      </c>
      <c r="F9" s="39">
        <v>7205</v>
      </c>
      <c r="G9" s="35">
        <v>14790</v>
      </c>
      <c r="H9" s="35">
        <v>7280</v>
      </c>
      <c r="I9" s="35">
        <v>7510</v>
      </c>
      <c r="J9" s="29">
        <v>558</v>
      </c>
      <c r="K9" s="28">
        <v>271</v>
      </c>
      <c r="L9" s="28">
        <v>287</v>
      </c>
      <c r="M9" s="27"/>
    </row>
    <row r="10" spans="1:13" s="26" customFormat="1" ht="20.25" customHeight="1" x14ac:dyDescent="0.15">
      <c r="A10" s="34"/>
      <c r="B10" s="33" t="s">
        <v>43</v>
      </c>
      <c r="C10" s="32">
        <f t="shared" si="2"/>
        <v>6690</v>
      </c>
      <c r="D10" s="32">
        <f t="shared" si="3"/>
        <v>3338</v>
      </c>
      <c r="E10" s="32">
        <f t="shared" si="4"/>
        <v>3352</v>
      </c>
      <c r="F10" s="39">
        <v>3516</v>
      </c>
      <c r="G10" s="30">
        <v>6457</v>
      </c>
      <c r="H10" s="30">
        <v>3222</v>
      </c>
      <c r="I10" s="30">
        <v>3235</v>
      </c>
      <c r="J10" s="29">
        <v>233</v>
      </c>
      <c r="K10" s="28">
        <v>116</v>
      </c>
      <c r="L10" s="28">
        <v>117</v>
      </c>
      <c r="M10" s="27"/>
    </row>
    <row r="11" spans="1:13" ht="20.25" customHeight="1" x14ac:dyDescent="0.15">
      <c r="A11" s="34"/>
      <c r="B11" s="33" t="s">
        <v>42</v>
      </c>
      <c r="C11" s="32">
        <f t="shared" si="2"/>
        <v>14970</v>
      </c>
      <c r="D11" s="32">
        <f t="shared" si="3"/>
        <v>7402</v>
      </c>
      <c r="E11" s="32">
        <f t="shared" si="4"/>
        <v>7568</v>
      </c>
      <c r="F11" s="39">
        <v>6717</v>
      </c>
      <c r="G11" s="30">
        <v>14547</v>
      </c>
      <c r="H11" s="30">
        <v>7207</v>
      </c>
      <c r="I11" s="30">
        <v>7340</v>
      </c>
      <c r="J11" s="29">
        <v>423</v>
      </c>
      <c r="K11" s="28">
        <v>195</v>
      </c>
      <c r="L11" s="28">
        <v>228</v>
      </c>
    </row>
    <row r="12" spans="1:13" ht="20.25" customHeight="1" x14ac:dyDescent="0.15">
      <c r="A12" s="34"/>
      <c r="B12" s="33" t="s">
        <v>41</v>
      </c>
      <c r="C12" s="32">
        <f t="shared" si="2"/>
        <v>27828</v>
      </c>
      <c r="D12" s="32">
        <f t="shared" si="3"/>
        <v>14006</v>
      </c>
      <c r="E12" s="32">
        <f t="shared" si="4"/>
        <v>13822</v>
      </c>
      <c r="F12" s="39">
        <v>13133</v>
      </c>
      <c r="G12" s="30">
        <v>26928</v>
      </c>
      <c r="H12" s="30">
        <v>13550</v>
      </c>
      <c r="I12" s="30">
        <v>13378</v>
      </c>
      <c r="J12" s="29">
        <v>900</v>
      </c>
      <c r="K12" s="28">
        <v>456</v>
      </c>
      <c r="L12" s="28">
        <v>444</v>
      </c>
    </row>
    <row r="13" spans="1:13" ht="20.25" customHeight="1" x14ac:dyDescent="0.15">
      <c r="A13" s="34"/>
      <c r="B13" s="33" t="s">
        <v>40</v>
      </c>
      <c r="C13" s="32">
        <f t="shared" si="2"/>
        <v>14794</v>
      </c>
      <c r="D13" s="32">
        <f t="shared" si="3"/>
        <v>7310</v>
      </c>
      <c r="E13" s="32">
        <f t="shared" si="4"/>
        <v>7484</v>
      </c>
      <c r="F13" s="39">
        <v>5804</v>
      </c>
      <c r="G13" s="30">
        <v>14608</v>
      </c>
      <c r="H13" s="30">
        <v>7178</v>
      </c>
      <c r="I13" s="30">
        <v>7430</v>
      </c>
      <c r="J13" s="29">
        <v>186</v>
      </c>
      <c r="K13" s="28">
        <v>132</v>
      </c>
      <c r="L13" s="28">
        <v>54</v>
      </c>
    </row>
    <row r="14" spans="1:13" ht="20.25" customHeight="1" x14ac:dyDescent="0.15">
      <c r="A14" s="34"/>
      <c r="B14" s="33" t="s">
        <v>39</v>
      </c>
      <c r="C14" s="32">
        <f t="shared" si="2"/>
        <v>8271</v>
      </c>
      <c r="D14" s="32">
        <f t="shared" si="3"/>
        <v>4251</v>
      </c>
      <c r="E14" s="32">
        <f t="shared" si="4"/>
        <v>4020</v>
      </c>
      <c r="F14" s="39">
        <v>4132</v>
      </c>
      <c r="G14" s="30">
        <v>7827</v>
      </c>
      <c r="H14" s="30">
        <v>4038</v>
      </c>
      <c r="I14" s="30">
        <v>3789</v>
      </c>
      <c r="J14" s="29">
        <v>444</v>
      </c>
      <c r="K14" s="28">
        <v>213</v>
      </c>
      <c r="L14" s="28">
        <v>231</v>
      </c>
    </row>
    <row r="15" spans="1:13" ht="20.25" customHeight="1" x14ac:dyDescent="0.15">
      <c r="A15" s="34"/>
      <c r="B15" s="33" t="s">
        <v>38</v>
      </c>
      <c r="C15" s="32">
        <f t="shared" si="2"/>
        <v>15692</v>
      </c>
      <c r="D15" s="32">
        <f t="shared" si="3"/>
        <v>7716</v>
      </c>
      <c r="E15" s="32">
        <f t="shared" si="4"/>
        <v>7976</v>
      </c>
      <c r="F15" s="39">
        <v>6958</v>
      </c>
      <c r="G15" s="30">
        <v>15597</v>
      </c>
      <c r="H15" s="30">
        <v>7675</v>
      </c>
      <c r="I15" s="30">
        <v>7922</v>
      </c>
      <c r="J15" s="29">
        <v>95</v>
      </c>
      <c r="K15" s="28">
        <v>41</v>
      </c>
      <c r="L15" s="28">
        <v>54</v>
      </c>
    </row>
    <row r="16" spans="1:13" ht="20.25" customHeight="1" x14ac:dyDescent="0.15">
      <c r="A16" s="34"/>
      <c r="B16" s="33" t="s">
        <v>37</v>
      </c>
      <c r="C16" s="32">
        <f t="shared" si="2"/>
        <v>18410</v>
      </c>
      <c r="D16" s="32">
        <f t="shared" si="3"/>
        <v>8949</v>
      </c>
      <c r="E16" s="32">
        <f t="shared" si="4"/>
        <v>9461</v>
      </c>
      <c r="F16" s="39">
        <v>7472</v>
      </c>
      <c r="G16" s="30">
        <v>18291</v>
      </c>
      <c r="H16" s="30">
        <v>8895</v>
      </c>
      <c r="I16" s="30">
        <v>9396</v>
      </c>
      <c r="J16" s="29">
        <v>119</v>
      </c>
      <c r="K16" s="28">
        <v>54</v>
      </c>
      <c r="L16" s="28">
        <v>65</v>
      </c>
    </row>
    <row r="17" spans="1:13" ht="20.25" customHeight="1" x14ac:dyDescent="0.15">
      <c r="A17" s="34"/>
      <c r="B17" s="33" t="s">
        <v>36</v>
      </c>
      <c r="C17" s="32">
        <f t="shared" si="2"/>
        <v>29129</v>
      </c>
      <c r="D17" s="32">
        <f t="shared" si="3"/>
        <v>14510</v>
      </c>
      <c r="E17" s="32">
        <f t="shared" si="4"/>
        <v>14619</v>
      </c>
      <c r="F17" s="39">
        <v>12392</v>
      </c>
      <c r="G17" s="30">
        <v>28786</v>
      </c>
      <c r="H17" s="30">
        <v>14357</v>
      </c>
      <c r="I17" s="30">
        <v>14429</v>
      </c>
      <c r="J17" s="29">
        <v>343</v>
      </c>
      <c r="K17" s="28">
        <v>153</v>
      </c>
      <c r="L17" s="28">
        <v>190</v>
      </c>
    </row>
    <row r="18" spans="1:13" s="27" customFormat="1" ht="20.25" customHeight="1" x14ac:dyDescent="0.15">
      <c r="A18" s="34"/>
      <c r="B18" s="33" t="s">
        <v>35</v>
      </c>
      <c r="C18" s="32">
        <f t="shared" si="2"/>
        <v>11807</v>
      </c>
      <c r="D18" s="32">
        <f t="shared" si="3"/>
        <v>6017</v>
      </c>
      <c r="E18" s="32">
        <f t="shared" si="4"/>
        <v>5790</v>
      </c>
      <c r="F18" s="39">
        <v>5297</v>
      </c>
      <c r="G18" s="30">
        <v>11717</v>
      </c>
      <c r="H18" s="30">
        <v>5964</v>
      </c>
      <c r="I18" s="30">
        <v>5753</v>
      </c>
      <c r="J18" s="29">
        <v>90</v>
      </c>
      <c r="K18" s="28">
        <v>53</v>
      </c>
      <c r="L18" s="28">
        <v>37</v>
      </c>
    </row>
    <row r="19" spans="1:13" ht="20.25" customHeight="1" x14ac:dyDescent="0.15">
      <c r="A19" s="34"/>
      <c r="B19" s="33" t="s">
        <v>34</v>
      </c>
      <c r="C19" s="32">
        <f t="shared" si="2"/>
        <v>14088</v>
      </c>
      <c r="D19" s="32">
        <f t="shared" si="3"/>
        <v>7082</v>
      </c>
      <c r="E19" s="32">
        <f t="shared" si="4"/>
        <v>7006</v>
      </c>
      <c r="F19" s="39">
        <v>6682</v>
      </c>
      <c r="G19" s="30">
        <v>13420</v>
      </c>
      <c r="H19" s="30">
        <v>6715</v>
      </c>
      <c r="I19" s="30">
        <v>6705</v>
      </c>
      <c r="J19" s="29">
        <v>668</v>
      </c>
      <c r="K19" s="28">
        <v>367</v>
      </c>
      <c r="L19" s="28">
        <v>301</v>
      </c>
    </row>
    <row r="20" spans="1:13" s="27" customFormat="1" ht="20.25" customHeight="1" x14ac:dyDescent="0.15">
      <c r="A20" s="34"/>
      <c r="B20" s="33" t="s">
        <v>33</v>
      </c>
      <c r="C20" s="32">
        <f t="shared" si="2"/>
        <v>20295</v>
      </c>
      <c r="D20" s="32">
        <f t="shared" si="3"/>
        <v>10080</v>
      </c>
      <c r="E20" s="32">
        <f t="shared" si="4"/>
        <v>10215</v>
      </c>
      <c r="F20" s="39">
        <v>7533</v>
      </c>
      <c r="G20" s="30">
        <v>20130</v>
      </c>
      <c r="H20" s="30">
        <v>9991</v>
      </c>
      <c r="I20" s="30">
        <v>10139</v>
      </c>
      <c r="J20" s="29">
        <v>165</v>
      </c>
      <c r="K20" s="28">
        <v>89</v>
      </c>
      <c r="L20" s="28">
        <v>76</v>
      </c>
    </row>
    <row r="21" spans="1:13" s="26" customFormat="1" ht="20.25" customHeight="1" x14ac:dyDescent="0.15">
      <c r="A21" s="159" t="s">
        <v>32</v>
      </c>
      <c r="B21" s="159"/>
      <c r="C21" s="38">
        <f t="shared" ref="C21:L21" si="5">SUM(C22:C38)</f>
        <v>331449</v>
      </c>
      <c r="D21" s="38">
        <f t="shared" si="5"/>
        <v>162142</v>
      </c>
      <c r="E21" s="38">
        <f t="shared" si="5"/>
        <v>169307</v>
      </c>
      <c r="F21" s="37">
        <f t="shared" si="5"/>
        <v>134459</v>
      </c>
      <c r="G21" s="36">
        <f t="shared" si="5"/>
        <v>329530</v>
      </c>
      <c r="H21" s="36">
        <f t="shared" si="5"/>
        <v>161304</v>
      </c>
      <c r="I21" s="36">
        <f t="shared" si="5"/>
        <v>168226</v>
      </c>
      <c r="J21" s="36">
        <f t="shared" si="5"/>
        <v>1919</v>
      </c>
      <c r="K21" s="36">
        <f t="shared" si="5"/>
        <v>838</v>
      </c>
      <c r="L21" s="36">
        <f t="shared" si="5"/>
        <v>1081</v>
      </c>
      <c r="M21" s="27"/>
    </row>
    <row r="22" spans="1:13" ht="20.25" customHeight="1" x14ac:dyDescent="0.15">
      <c r="A22" s="34"/>
      <c r="B22" s="33" t="s">
        <v>31</v>
      </c>
      <c r="C22" s="32">
        <f t="shared" ref="C22:C38" si="6">G22+J22</f>
        <v>28340</v>
      </c>
      <c r="D22" s="32">
        <f t="shared" ref="D22:D38" si="7">H22+K22</f>
        <v>13729</v>
      </c>
      <c r="E22" s="32">
        <f t="shared" ref="E22:E38" si="8">I22+L22</f>
        <v>14611</v>
      </c>
      <c r="F22" s="31">
        <v>10546</v>
      </c>
      <c r="G22" s="30">
        <v>28231</v>
      </c>
      <c r="H22" s="30">
        <v>13687</v>
      </c>
      <c r="I22" s="30">
        <v>14544</v>
      </c>
      <c r="J22" s="29">
        <v>109</v>
      </c>
      <c r="K22" s="28">
        <v>42</v>
      </c>
      <c r="L22" s="28">
        <v>67</v>
      </c>
    </row>
    <row r="23" spans="1:13" s="26" customFormat="1" ht="20.25" customHeight="1" x14ac:dyDescent="0.15">
      <c r="A23" s="34"/>
      <c r="B23" s="33" t="s">
        <v>30</v>
      </c>
      <c r="C23" s="32">
        <f t="shared" si="6"/>
        <v>13240</v>
      </c>
      <c r="D23" s="32">
        <f t="shared" si="7"/>
        <v>6508</v>
      </c>
      <c r="E23" s="32">
        <f t="shared" si="8"/>
        <v>6732</v>
      </c>
      <c r="F23" s="31">
        <v>4771</v>
      </c>
      <c r="G23" s="30">
        <v>13192</v>
      </c>
      <c r="H23" s="30">
        <v>6478</v>
      </c>
      <c r="I23" s="30">
        <v>6714</v>
      </c>
      <c r="J23" s="29">
        <v>48</v>
      </c>
      <c r="K23" s="28">
        <v>30</v>
      </c>
      <c r="L23" s="28">
        <v>18</v>
      </c>
      <c r="M23" s="27"/>
    </row>
    <row r="24" spans="1:13" ht="20.25" customHeight="1" x14ac:dyDescent="0.15">
      <c r="A24" s="34"/>
      <c r="B24" s="33" t="s">
        <v>29</v>
      </c>
      <c r="C24" s="32">
        <f t="shared" si="6"/>
        <v>18020</v>
      </c>
      <c r="D24" s="32">
        <f t="shared" si="7"/>
        <v>8917</v>
      </c>
      <c r="E24" s="32">
        <f t="shared" si="8"/>
        <v>9103</v>
      </c>
      <c r="F24" s="31">
        <v>7719</v>
      </c>
      <c r="G24" s="30">
        <v>17899</v>
      </c>
      <c r="H24" s="30">
        <v>8850</v>
      </c>
      <c r="I24" s="30">
        <v>9049</v>
      </c>
      <c r="J24" s="29">
        <v>121</v>
      </c>
      <c r="K24" s="28">
        <v>67</v>
      </c>
      <c r="L24" s="28">
        <v>54</v>
      </c>
    </row>
    <row r="25" spans="1:13" ht="20.25" customHeight="1" x14ac:dyDescent="0.15">
      <c r="A25" s="34"/>
      <c r="B25" s="33" t="s">
        <v>28</v>
      </c>
      <c r="C25" s="32">
        <f t="shared" si="6"/>
        <v>15979</v>
      </c>
      <c r="D25" s="32">
        <f t="shared" si="7"/>
        <v>7630</v>
      </c>
      <c r="E25" s="32">
        <f t="shared" si="8"/>
        <v>8349</v>
      </c>
      <c r="F25" s="31">
        <v>6316</v>
      </c>
      <c r="G25" s="30">
        <v>15946</v>
      </c>
      <c r="H25" s="30">
        <v>7621</v>
      </c>
      <c r="I25" s="30">
        <v>8325</v>
      </c>
      <c r="J25" s="29">
        <v>33</v>
      </c>
      <c r="K25" s="28">
        <v>9</v>
      </c>
      <c r="L25" s="28">
        <v>24</v>
      </c>
    </row>
    <row r="26" spans="1:13" ht="20.25" customHeight="1" x14ac:dyDescent="0.15">
      <c r="A26" s="34"/>
      <c r="B26" s="33" t="s">
        <v>27</v>
      </c>
      <c r="C26" s="32">
        <f t="shared" si="6"/>
        <v>9459</v>
      </c>
      <c r="D26" s="32">
        <f t="shared" si="7"/>
        <v>4205</v>
      </c>
      <c r="E26" s="32">
        <f t="shared" si="8"/>
        <v>5254</v>
      </c>
      <c r="F26" s="31">
        <v>5373</v>
      </c>
      <c r="G26" s="35">
        <v>9386</v>
      </c>
      <c r="H26" s="35">
        <v>4187</v>
      </c>
      <c r="I26" s="35">
        <v>5199</v>
      </c>
      <c r="J26" s="29">
        <v>73</v>
      </c>
      <c r="K26" s="28">
        <v>18</v>
      </c>
      <c r="L26" s="28">
        <v>55</v>
      </c>
    </row>
    <row r="27" spans="1:13" ht="20.25" customHeight="1" x14ac:dyDescent="0.15">
      <c r="A27" s="34"/>
      <c r="B27" s="33" t="s">
        <v>26</v>
      </c>
      <c r="C27" s="32">
        <f t="shared" si="6"/>
        <v>32333</v>
      </c>
      <c r="D27" s="32">
        <f t="shared" si="7"/>
        <v>15822</v>
      </c>
      <c r="E27" s="32">
        <f t="shared" si="8"/>
        <v>16511</v>
      </c>
      <c r="F27" s="31">
        <v>15277</v>
      </c>
      <c r="G27" s="30">
        <v>32076</v>
      </c>
      <c r="H27" s="30">
        <v>15704</v>
      </c>
      <c r="I27" s="30">
        <v>16372</v>
      </c>
      <c r="J27" s="29">
        <v>257</v>
      </c>
      <c r="K27" s="28">
        <v>118</v>
      </c>
      <c r="L27" s="28">
        <v>139</v>
      </c>
    </row>
    <row r="28" spans="1:13" s="26" customFormat="1" ht="20.25" customHeight="1" x14ac:dyDescent="0.15">
      <c r="A28" s="34"/>
      <c r="B28" s="33" t="s">
        <v>25</v>
      </c>
      <c r="C28" s="32">
        <f t="shared" si="6"/>
        <v>18133</v>
      </c>
      <c r="D28" s="32">
        <f t="shared" si="7"/>
        <v>9306</v>
      </c>
      <c r="E28" s="32">
        <f t="shared" si="8"/>
        <v>8827</v>
      </c>
      <c r="F28" s="31">
        <v>8756</v>
      </c>
      <c r="G28" s="30">
        <v>17870</v>
      </c>
      <c r="H28" s="30">
        <v>9157</v>
      </c>
      <c r="I28" s="30">
        <v>8713</v>
      </c>
      <c r="J28" s="29">
        <v>263</v>
      </c>
      <c r="K28" s="28">
        <v>149</v>
      </c>
      <c r="L28" s="28">
        <v>114</v>
      </c>
      <c r="M28" s="27"/>
    </row>
    <row r="29" spans="1:13" ht="20.25" customHeight="1" x14ac:dyDescent="0.15">
      <c r="A29" s="34"/>
      <c r="B29" s="33" t="s">
        <v>24</v>
      </c>
      <c r="C29" s="32">
        <f t="shared" si="6"/>
        <v>26630</v>
      </c>
      <c r="D29" s="32">
        <f t="shared" si="7"/>
        <v>12836</v>
      </c>
      <c r="E29" s="32">
        <f t="shared" si="8"/>
        <v>13794</v>
      </c>
      <c r="F29" s="31">
        <v>12697</v>
      </c>
      <c r="G29" s="30">
        <v>26355</v>
      </c>
      <c r="H29" s="30">
        <v>12730</v>
      </c>
      <c r="I29" s="30">
        <v>13625</v>
      </c>
      <c r="J29" s="29">
        <v>275</v>
      </c>
      <c r="K29" s="28">
        <v>106</v>
      </c>
      <c r="L29" s="28">
        <v>169</v>
      </c>
    </row>
    <row r="30" spans="1:13" ht="20.25" customHeight="1" x14ac:dyDescent="0.15">
      <c r="A30" s="34"/>
      <c r="B30" s="33" t="s">
        <v>23</v>
      </c>
      <c r="C30" s="32">
        <f t="shared" si="6"/>
        <v>14908</v>
      </c>
      <c r="D30" s="32">
        <f t="shared" si="7"/>
        <v>7325</v>
      </c>
      <c r="E30" s="32">
        <f t="shared" si="8"/>
        <v>7583</v>
      </c>
      <c r="F30" s="31">
        <v>5368</v>
      </c>
      <c r="G30" s="30">
        <v>14872</v>
      </c>
      <c r="H30" s="30">
        <v>7308</v>
      </c>
      <c r="I30" s="30">
        <v>7564</v>
      </c>
      <c r="J30" s="29">
        <v>36</v>
      </c>
      <c r="K30" s="28">
        <v>17</v>
      </c>
      <c r="L30" s="28">
        <v>19</v>
      </c>
    </row>
    <row r="31" spans="1:13" ht="20.25" customHeight="1" x14ac:dyDescent="0.15">
      <c r="A31" s="34"/>
      <c r="B31" s="33" t="s">
        <v>22</v>
      </c>
      <c r="C31" s="32">
        <f t="shared" si="6"/>
        <v>22412</v>
      </c>
      <c r="D31" s="32">
        <f t="shared" si="7"/>
        <v>10922</v>
      </c>
      <c r="E31" s="32">
        <f t="shared" si="8"/>
        <v>11490</v>
      </c>
      <c r="F31" s="31">
        <v>8056</v>
      </c>
      <c r="G31" s="30">
        <v>22351</v>
      </c>
      <c r="H31" s="30">
        <v>10899</v>
      </c>
      <c r="I31" s="30">
        <v>11452</v>
      </c>
      <c r="J31" s="29">
        <v>61</v>
      </c>
      <c r="K31" s="28">
        <v>23</v>
      </c>
      <c r="L31" s="28">
        <v>38</v>
      </c>
    </row>
    <row r="32" spans="1:13" ht="20.25" customHeight="1" x14ac:dyDescent="0.15">
      <c r="A32" s="34"/>
      <c r="B32" s="33" t="s">
        <v>21</v>
      </c>
      <c r="C32" s="32">
        <f t="shared" si="6"/>
        <v>16071</v>
      </c>
      <c r="D32" s="32">
        <f t="shared" si="7"/>
        <v>7959</v>
      </c>
      <c r="E32" s="32">
        <f t="shared" si="8"/>
        <v>8112</v>
      </c>
      <c r="F32" s="31">
        <v>5074</v>
      </c>
      <c r="G32" s="30">
        <v>16046</v>
      </c>
      <c r="H32" s="30">
        <v>7955</v>
      </c>
      <c r="I32" s="30">
        <v>8091</v>
      </c>
      <c r="J32" s="29">
        <v>25</v>
      </c>
      <c r="K32" s="28">
        <v>4</v>
      </c>
      <c r="L32" s="28">
        <v>21</v>
      </c>
    </row>
    <row r="33" spans="1:13" ht="20.25" customHeight="1" x14ac:dyDescent="0.15">
      <c r="A33" s="34"/>
      <c r="B33" s="33" t="s">
        <v>20</v>
      </c>
      <c r="C33" s="32">
        <f t="shared" si="6"/>
        <v>27031</v>
      </c>
      <c r="D33" s="32">
        <f t="shared" si="7"/>
        <v>13493</v>
      </c>
      <c r="E33" s="32">
        <f t="shared" si="8"/>
        <v>13538</v>
      </c>
      <c r="F33" s="31">
        <v>10312</v>
      </c>
      <c r="G33" s="30">
        <v>26915</v>
      </c>
      <c r="H33" s="30">
        <v>13440</v>
      </c>
      <c r="I33" s="30">
        <v>13475</v>
      </c>
      <c r="J33" s="29">
        <v>116</v>
      </c>
      <c r="K33" s="28">
        <v>53</v>
      </c>
      <c r="L33" s="28">
        <v>63</v>
      </c>
    </row>
    <row r="34" spans="1:13" ht="20.25" customHeight="1" x14ac:dyDescent="0.15">
      <c r="A34" s="34"/>
      <c r="B34" s="33" t="s">
        <v>19</v>
      </c>
      <c r="C34" s="32">
        <f t="shared" si="6"/>
        <v>27138</v>
      </c>
      <c r="D34" s="32">
        <f t="shared" si="7"/>
        <v>13227</v>
      </c>
      <c r="E34" s="32">
        <f t="shared" si="8"/>
        <v>13911</v>
      </c>
      <c r="F34" s="31">
        <v>10542</v>
      </c>
      <c r="G34" s="30">
        <v>27009</v>
      </c>
      <c r="H34" s="30">
        <v>13167</v>
      </c>
      <c r="I34" s="30">
        <v>13842</v>
      </c>
      <c r="J34" s="29">
        <v>129</v>
      </c>
      <c r="K34" s="28">
        <v>60</v>
      </c>
      <c r="L34" s="28">
        <v>69</v>
      </c>
    </row>
    <row r="35" spans="1:13" ht="20.25" customHeight="1" x14ac:dyDescent="0.15">
      <c r="A35" s="34"/>
      <c r="B35" s="33" t="s">
        <v>18</v>
      </c>
      <c r="C35" s="32">
        <f t="shared" si="6"/>
        <v>24024</v>
      </c>
      <c r="D35" s="32">
        <f t="shared" si="7"/>
        <v>12019</v>
      </c>
      <c r="E35" s="32">
        <f t="shared" si="8"/>
        <v>12005</v>
      </c>
      <c r="F35" s="31">
        <v>9506</v>
      </c>
      <c r="G35" s="30">
        <v>23860</v>
      </c>
      <c r="H35" s="30">
        <v>11957</v>
      </c>
      <c r="I35" s="30">
        <v>11903</v>
      </c>
      <c r="J35" s="29">
        <v>164</v>
      </c>
      <c r="K35" s="28">
        <v>62</v>
      </c>
      <c r="L35" s="28">
        <v>102</v>
      </c>
    </row>
    <row r="36" spans="1:13" ht="20.25" customHeight="1" x14ac:dyDescent="0.15">
      <c r="A36" s="34"/>
      <c r="B36" s="33" t="s">
        <v>17</v>
      </c>
      <c r="C36" s="32">
        <f t="shared" si="6"/>
        <v>15107</v>
      </c>
      <c r="D36" s="32">
        <f t="shared" si="7"/>
        <v>7265</v>
      </c>
      <c r="E36" s="32">
        <f t="shared" si="8"/>
        <v>7842</v>
      </c>
      <c r="F36" s="31">
        <v>5872</v>
      </c>
      <c r="G36" s="30">
        <v>14995</v>
      </c>
      <c r="H36" s="30">
        <v>7222</v>
      </c>
      <c r="I36" s="30">
        <v>7773</v>
      </c>
      <c r="J36" s="29">
        <v>112</v>
      </c>
      <c r="K36" s="28">
        <v>43</v>
      </c>
      <c r="L36" s="28">
        <v>69</v>
      </c>
    </row>
    <row r="37" spans="1:13" ht="20.25" customHeight="1" x14ac:dyDescent="0.15">
      <c r="A37" s="34"/>
      <c r="B37" s="33" t="s">
        <v>16</v>
      </c>
      <c r="C37" s="32">
        <f t="shared" si="6"/>
        <v>12265</v>
      </c>
      <c r="D37" s="32">
        <f t="shared" si="7"/>
        <v>5949</v>
      </c>
      <c r="E37" s="32">
        <f t="shared" si="8"/>
        <v>6316</v>
      </c>
      <c r="F37" s="31">
        <v>4425</v>
      </c>
      <c r="G37" s="30">
        <v>12232</v>
      </c>
      <c r="H37" s="30">
        <v>5935</v>
      </c>
      <c r="I37" s="30">
        <v>6297</v>
      </c>
      <c r="J37" s="29">
        <v>33</v>
      </c>
      <c r="K37" s="28">
        <v>14</v>
      </c>
      <c r="L37" s="28">
        <v>19</v>
      </c>
    </row>
    <row r="38" spans="1:13" s="27" customFormat="1" ht="20.25" customHeight="1" x14ac:dyDescent="0.15">
      <c r="A38" s="34"/>
      <c r="B38" s="33" t="s">
        <v>15</v>
      </c>
      <c r="C38" s="32">
        <f t="shared" si="6"/>
        <v>10359</v>
      </c>
      <c r="D38" s="32">
        <f t="shared" si="7"/>
        <v>5030</v>
      </c>
      <c r="E38" s="32">
        <f t="shared" si="8"/>
        <v>5329</v>
      </c>
      <c r="F38" s="31">
        <v>3849</v>
      </c>
      <c r="G38" s="30">
        <v>10295</v>
      </c>
      <c r="H38" s="30">
        <v>5007</v>
      </c>
      <c r="I38" s="30">
        <v>5288</v>
      </c>
      <c r="J38" s="29">
        <v>64</v>
      </c>
      <c r="K38" s="28">
        <v>23</v>
      </c>
      <c r="L38" s="28">
        <v>41</v>
      </c>
    </row>
    <row r="39" spans="1:13" s="26" customFormat="1" ht="20.25" customHeight="1" x14ac:dyDescent="0.15">
      <c r="A39" s="25"/>
      <c r="B39" s="23"/>
      <c r="C39" s="17"/>
      <c r="D39" s="17"/>
      <c r="E39" s="17"/>
      <c r="F39" s="19"/>
      <c r="G39" s="17"/>
      <c r="H39" s="17"/>
      <c r="I39" s="17"/>
      <c r="J39" s="17"/>
      <c r="K39" s="17"/>
      <c r="L39" s="17"/>
      <c r="M39" s="27"/>
    </row>
    <row r="40" spans="1:13" s="26" customFormat="1" ht="20.25" customHeight="1" x14ac:dyDescent="0.15">
      <c r="A40" s="25"/>
      <c r="B40" s="23"/>
      <c r="C40" s="17"/>
      <c r="D40" s="17"/>
      <c r="E40" s="17"/>
      <c r="F40" s="19"/>
      <c r="G40" s="17"/>
      <c r="H40" s="17"/>
      <c r="I40" s="17"/>
      <c r="J40" s="17"/>
      <c r="K40" s="17"/>
      <c r="L40" s="17"/>
      <c r="M40" s="27"/>
    </row>
    <row r="41" spans="1:13" s="26" customFormat="1" ht="20.25" customHeight="1" x14ac:dyDescent="0.15">
      <c r="A41" s="25"/>
      <c r="B41" s="23"/>
      <c r="C41" s="17"/>
      <c r="D41" s="17"/>
      <c r="E41" s="17"/>
      <c r="F41" s="19"/>
      <c r="G41" s="17"/>
      <c r="H41" s="17"/>
      <c r="I41" s="17"/>
      <c r="J41" s="17"/>
      <c r="K41" s="17"/>
      <c r="L41" s="17"/>
      <c r="M41" s="27"/>
    </row>
    <row r="42" spans="1:13" s="26" customFormat="1" ht="20.25" customHeight="1" x14ac:dyDescent="0.15">
      <c r="A42" s="25"/>
      <c r="B42" s="23"/>
      <c r="C42" s="17"/>
      <c r="D42" s="17"/>
      <c r="E42" s="17"/>
      <c r="F42" s="19"/>
      <c r="G42" s="17"/>
      <c r="H42" s="17"/>
      <c r="I42" s="17"/>
      <c r="J42" s="17"/>
      <c r="K42" s="17"/>
      <c r="L42" s="17"/>
      <c r="M42" s="27"/>
    </row>
    <row r="43" spans="1:13" s="26" customFormat="1" ht="20.25" customHeight="1" x14ac:dyDescent="0.15">
      <c r="A43" s="25"/>
      <c r="B43" s="23"/>
      <c r="C43" s="17"/>
      <c r="D43" s="17"/>
      <c r="E43" s="17"/>
      <c r="F43" s="19"/>
      <c r="G43" s="17"/>
      <c r="H43" s="17"/>
      <c r="I43" s="17"/>
      <c r="J43" s="17"/>
      <c r="K43" s="17"/>
      <c r="L43" s="17"/>
      <c r="M43" s="27"/>
    </row>
    <row r="44" spans="1:13" s="26" customFormat="1" ht="20.25" customHeight="1" x14ac:dyDescent="0.15">
      <c r="A44" s="25"/>
      <c r="B44" s="23"/>
      <c r="C44" s="17"/>
      <c r="D44" s="17"/>
      <c r="E44" s="17"/>
      <c r="F44" s="19"/>
      <c r="G44" s="17"/>
      <c r="H44" s="17"/>
      <c r="I44" s="17"/>
      <c r="J44" s="17"/>
      <c r="K44" s="17"/>
      <c r="L44" s="17"/>
      <c r="M44" s="27"/>
    </row>
    <row r="45" spans="1:13" s="26" customFormat="1" ht="20.25" customHeight="1" x14ac:dyDescent="0.15">
      <c r="A45" s="25"/>
      <c r="B45" s="23"/>
      <c r="C45" s="17"/>
      <c r="D45" s="17"/>
      <c r="E45" s="17"/>
      <c r="F45" s="19"/>
      <c r="G45" s="17"/>
      <c r="H45" s="17"/>
      <c r="I45" s="17"/>
      <c r="J45" s="17"/>
      <c r="K45" s="17"/>
      <c r="L45" s="17"/>
      <c r="M45" s="27"/>
    </row>
    <row r="46" spans="1:13" s="26" customFormat="1" ht="20.25" customHeight="1" x14ac:dyDescent="0.15">
      <c r="A46" s="25"/>
      <c r="B46" s="23"/>
      <c r="C46" s="17"/>
      <c r="D46" s="17"/>
      <c r="E46" s="17"/>
      <c r="F46" s="19"/>
      <c r="G46" s="17"/>
      <c r="H46" s="17"/>
      <c r="I46" s="17"/>
      <c r="J46" s="17"/>
      <c r="K46" s="17"/>
      <c r="L46" s="17"/>
      <c r="M46" s="27"/>
    </row>
    <row r="47" spans="1:13" ht="20.25" customHeight="1" x14ac:dyDescent="0.15">
      <c r="A47" s="25"/>
      <c r="B47" s="23"/>
    </row>
    <row r="48" spans="1:13" ht="20.25" customHeight="1" x14ac:dyDescent="0.15">
      <c r="A48" s="25"/>
      <c r="B48" s="23"/>
    </row>
    <row r="49" spans="1:2" ht="20.25" customHeight="1" x14ac:dyDescent="0.15">
      <c r="A49" s="25"/>
      <c r="B49" s="23"/>
    </row>
    <row r="50" spans="1:2" ht="20.25" customHeight="1" x14ac:dyDescent="0.15">
      <c r="A50" s="25"/>
      <c r="B50" s="23"/>
    </row>
    <row r="51" spans="1:2" ht="20.25" customHeight="1" x14ac:dyDescent="0.15">
      <c r="A51" s="25"/>
      <c r="B51" s="23"/>
    </row>
    <row r="52" spans="1:2" ht="20.25" customHeight="1" x14ac:dyDescent="0.15">
      <c r="A52" s="25"/>
      <c r="B52" s="23"/>
    </row>
    <row r="53" spans="1:2" ht="20.25" customHeight="1" x14ac:dyDescent="0.15">
      <c r="A53" s="25"/>
      <c r="B53" s="23"/>
    </row>
    <row r="54" spans="1:2" ht="20.25" customHeight="1" x14ac:dyDescent="0.15">
      <c r="A54" s="25"/>
      <c r="B54" s="23"/>
    </row>
    <row r="55" spans="1:2" ht="20.25" customHeight="1" x14ac:dyDescent="0.15">
      <c r="A55" s="25"/>
      <c r="B55" s="23"/>
    </row>
    <row r="56" spans="1:2" ht="20.25" customHeight="1" x14ac:dyDescent="0.15">
      <c r="A56" s="25"/>
      <c r="B56" s="23"/>
    </row>
    <row r="57" spans="1:2" ht="20.25" customHeight="1" x14ac:dyDescent="0.15">
      <c r="A57" s="25"/>
      <c r="B57" s="23"/>
    </row>
    <row r="58" spans="1:2" ht="20.25" customHeight="1" x14ac:dyDescent="0.15">
      <c r="A58" s="25"/>
      <c r="B58" s="23"/>
    </row>
    <row r="59" spans="1:2" ht="20.25" customHeight="1" x14ac:dyDescent="0.15">
      <c r="A59" s="25"/>
      <c r="B59" s="23"/>
    </row>
    <row r="60" spans="1:2" ht="20.25" customHeight="1" x14ac:dyDescent="0.15">
      <c r="A60" s="25"/>
      <c r="B60" s="23"/>
    </row>
    <row r="61" spans="1:2" ht="20.25" customHeight="1" x14ac:dyDescent="0.15">
      <c r="A61" s="25"/>
      <c r="B61" s="23"/>
    </row>
    <row r="62" spans="1:2" ht="20.25" customHeight="1" x14ac:dyDescent="0.15">
      <c r="A62" s="25"/>
      <c r="B62" s="23"/>
    </row>
    <row r="63" spans="1:2" ht="20.25" customHeight="1" x14ac:dyDescent="0.15">
      <c r="A63" s="25"/>
      <c r="B63" s="23"/>
    </row>
    <row r="64" spans="1:2" ht="20.25" customHeight="1" x14ac:dyDescent="0.15">
      <c r="A64" s="25"/>
      <c r="B64" s="23"/>
    </row>
    <row r="65" spans="1:2" ht="20.25" customHeight="1" x14ac:dyDescent="0.15">
      <c r="A65" s="25"/>
      <c r="B65" s="23"/>
    </row>
    <row r="66" spans="1:2" ht="20.25" customHeight="1" x14ac:dyDescent="0.15">
      <c r="A66" s="25"/>
      <c r="B66" s="23"/>
    </row>
    <row r="67" spans="1:2" ht="20.25" customHeight="1" x14ac:dyDescent="0.15">
      <c r="A67" s="25"/>
      <c r="B67" s="23"/>
    </row>
    <row r="68" spans="1:2" ht="20.25" customHeight="1" x14ac:dyDescent="0.15">
      <c r="A68" s="25"/>
      <c r="B68" s="23"/>
    </row>
    <row r="69" spans="1:2" ht="20.25" customHeight="1" x14ac:dyDescent="0.15">
      <c r="A69" s="25"/>
      <c r="B69" s="23"/>
    </row>
    <row r="70" spans="1:2" ht="20.25" customHeight="1" x14ac:dyDescent="0.15">
      <c r="A70" s="25"/>
      <c r="B70" s="23"/>
    </row>
    <row r="71" spans="1:2" ht="20.25" customHeight="1" x14ac:dyDescent="0.15">
      <c r="A71" s="25"/>
      <c r="B71" s="23"/>
    </row>
    <row r="72" spans="1:2" ht="20.25" customHeight="1" x14ac:dyDescent="0.15">
      <c r="A72" s="25"/>
      <c r="B72" s="23"/>
    </row>
    <row r="73" spans="1:2" ht="20.25" customHeight="1" x14ac:dyDescent="0.15">
      <c r="A73" s="25"/>
      <c r="B73" s="23"/>
    </row>
    <row r="74" spans="1:2" ht="20.25" customHeight="1" x14ac:dyDescent="0.15">
      <c r="A74" s="25"/>
      <c r="B74" s="23"/>
    </row>
    <row r="75" spans="1:2" ht="20.25" customHeight="1" x14ac:dyDescent="0.15">
      <c r="A75" s="25"/>
      <c r="B75" s="23"/>
    </row>
    <row r="76" spans="1:2" ht="20.25" customHeight="1" x14ac:dyDescent="0.15">
      <c r="A76" s="25"/>
      <c r="B76" s="23"/>
    </row>
    <row r="77" spans="1:2" ht="20.25" customHeight="1" x14ac:dyDescent="0.15">
      <c r="A77" s="25"/>
      <c r="B77" s="23"/>
    </row>
    <row r="78" spans="1:2" ht="20.25" customHeight="1" x14ac:dyDescent="0.15">
      <c r="A78" s="25"/>
      <c r="B78" s="23"/>
    </row>
    <row r="79" spans="1:2" ht="20.25" customHeight="1" x14ac:dyDescent="0.15">
      <c r="A79" s="25"/>
      <c r="B79" s="23"/>
    </row>
    <row r="80" spans="1:2" ht="20.25" customHeight="1" x14ac:dyDescent="0.15">
      <c r="A80" s="25"/>
      <c r="B80" s="23"/>
    </row>
    <row r="81" spans="1:2" ht="20.25" customHeight="1" x14ac:dyDescent="0.15">
      <c r="A81" s="25"/>
      <c r="B81" s="23"/>
    </row>
    <row r="82" spans="1:2" ht="20.25" customHeight="1" x14ac:dyDescent="0.15">
      <c r="A82" s="25"/>
      <c r="B82" s="23"/>
    </row>
    <row r="83" spans="1:2" ht="20.25" customHeight="1" x14ac:dyDescent="0.15">
      <c r="A83" s="25"/>
      <c r="B83" s="23"/>
    </row>
    <row r="84" spans="1:2" ht="20.25" customHeight="1" x14ac:dyDescent="0.15">
      <c r="A84" s="25"/>
      <c r="B84" s="23"/>
    </row>
    <row r="85" spans="1:2" ht="20.25" customHeight="1" x14ac:dyDescent="0.15">
      <c r="A85" s="25"/>
      <c r="B85" s="23"/>
    </row>
    <row r="86" spans="1:2" ht="20.25" customHeight="1" x14ac:dyDescent="0.15">
      <c r="A86" s="25"/>
      <c r="B86" s="23"/>
    </row>
    <row r="87" spans="1:2" ht="20.25" customHeight="1" x14ac:dyDescent="0.15">
      <c r="A87" s="25"/>
      <c r="B87" s="23"/>
    </row>
    <row r="88" spans="1:2" ht="20.25" customHeight="1" x14ac:dyDescent="0.15">
      <c r="A88" s="25"/>
      <c r="B88" s="23"/>
    </row>
    <row r="89" spans="1:2" ht="20.25" customHeight="1" x14ac:dyDescent="0.15">
      <c r="A89" s="25"/>
      <c r="B89" s="23"/>
    </row>
    <row r="90" spans="1:2" ht="20.25" customHeight="1" x14ac:dyDescent="0.15">
      <c r="A90" s="25"/>
      <c r="B90" s="23"/>
    </row>
    <row r="91" spans="1:2" ht="20.25" customHeight="1" x14ac:dyDescent="0.15">
      <c r="A91" s="25"/>
      <c r="B91" s="23"/>
    </row>
    <row r="92" spans="1:2" ht="20.25" customHeight="1" x14ac:dyDescent="0.15">
      <c r="A92" s="25"/>
      <c r="B92" s="23"/>
    </row>
    <row r="93" spans="1:2" ht="20.25" customHeight="1" x14ac:dyDescent="0.15">
      <c r="A93" s="25"/>
      <c r="B93" s="23"/>
    </row>
    <row r="94" spans="1:2" ht="20.25" customHeight="1" x14ac:dyDescent="0.15">
      <c r="A94" s="25"/>
      <c r="B94" s="23"/>
    </row>
    <row r="95" spans="1:2" ht="20.25" customHeight="1" x14ac:dyDescent="0.15">
      <c r="A95" s="25"/>
      <c r="B95" s="23"/>
    </row>
    <row r="96" spans="1:2" ht="20.25" customHeight="1" x14ac:dyDescent="0.15">
      <c r="A96" s="25"/>
      <c r="B96" s="23"/>
    </row>
    <row r="97" spans="1:2" ht="20.25" customHeight="1" x14ac:dyDescent="0.15">
      <c r="A97" s="25"/>
      <c r="B97" s="23"/>
    </row>
    <row r="98" spans="1:2" ht="20.25" customHeight="1" x14ac:dyDescent="0.15">
      <c r="A98" s="25"/>
      <c r="B98" s="23"/>
    </row>
    <row r="99" spans="1:2" ht="20.25" customHeight="1" x14ac:dyDescent="0.15">
      <c r="A99" s="25"/>
      <c r="B99" s="23"/>
    </row>
    <row r="100" spans="1:2" ht="20.25" customHeight="1" x14ac:dyDescent="0.15">
      <c r="A100" s="25"/>
      <c r="B100" s="23"/>
    </row>
    <row r="101" spans="1:2" ht="20.25" customHeight="1" x14ac:dyDescent="0.15">
      <c r="A101" s="25"/>
      <c r="B101" s="23"/>
    </row>
    <row r="102" spans="1:2" ht="20.25" customHeight="1" x14ac:dyDescent="0.15">
      <c r="A102" s="25"/>
      <c r="B102" s="23"/>
    </row>
    <row r="103" spans="1:2" ht="20.25" customHeight="1" x14ac:dyDescent="0.15">
      <c r="A103" s="25"/>
      <c r="B103" s="23"/>
    </row>
    <row r="104" spans="1:2" ht="20.25" customHeight="1" x14ac:dyDescent="0.15">
      <c r="A104" s="25"/>
      <c r="B104" s="23"/>
    </row>
    <row r="105" spans="1:2" ht="20.25" customHeight="1" x14ac:dyDescent="0.15">
      <c r="A105" s="25"/>
      <c r="B105" s="23"/>
    </row>
    <row r="106" spans="1:2" ht="20.25" customHeight="1" x14ac:dyDescent="0.15">
      <c r="A106" s="25"/>
      <c r="B106" s="23"/>
    </row>
    <row r="107" spans="1:2" ht="20.25" customHeight="1" x14ac:dyDescent="0.15">
      <c r="A107" s="25"/>
      <c r="B107" s="23"/>
    </row>
    <row r="108" spans="1:2" ht="20.25" customHeight="1" x14ac:dyDescent="0.15">
      <c r="A108" s="25"/>
      <c r="B108" s="23"/>
    </row>
    <row r="109" spans="1:2" ht="20.25" customHeight="1" x14ac:dyDescent="0.15">
      <c r="A109" s="25"/>
      <c r="B109" s="23"/>
    </row>
    <row r="110" spans="1:2" ht="20.25" customHeight="1" x14ac:dyDescent="0.15">
      <c r="A110" s="25"/>
      <c r="B110" s="23"/>
    </row>
    <row r="111" spans="1:2" ht="20.25" customHeight="1" x14ac:dyDescent="0.15">
      <c r="A111" s="25"/>
      <c r="B111" s="23"/>
    </row>
    <row r="112" spans="1:2" ht="20.25" customHeight="1" x14ac:dyDescent="0.15">
      <c r="A112" s="25"/>
      <c r="B112" s="23"/>
    </row>
    <row r="113" spans="1:2" ht="20.25" customHeight="1" x14ac:dyDescent="0.15">
      <c r="A113" s="25"/>
      <c r="B113" s="23"/>
    </row>
    <row r="114" spans="1:2" ht="20.25" customHeight="1" x14ac:dyDescent="0.15">
      <c r="A114" s="25"/>
      <c r="B114" s="23"/>
    </row>
    <row r="115" spans="1:2" ht="20.25" customHeight="1" x14ac:dyDescent="0.15">
      <c r="A115" s="25"/>
      <c r="B115" s="23"/>
    </row>
    <row r="116" spans="1:2" ht="20.25" customHeight="1" x14ac:dyDescent="0.15">
      <c r="A116" s="25"/>
      <c r="B116" s="23"/>
    </row>
    <row r="117" spans="1:2" ht="20.25" customHeight="1" x14ac:dyDescent="0.15">
      <c r="A117" s="25"/>
      <c r="B117" s="23"/>
    </row>
    <row r="118" spans="1:2" ht="20.25" customHeight="1" x14ac:dyDescent="0.15">
      <c r="A118" s="25"/>
      <c r="B118" s="23"/>
    </row>
    <row r="119" spans="1:2" ht="20.25" customHeight="1" x14ac:dyDescent="0.15">
      <c r="A119" s="25"/>
      <c r="B119" s="23"/>
    </row>
    <row r="120" spans="1:2" ht="20.25" customHeight="1" x14ac:dyDescent="0.15">
      <c r="A120" s="25"/>
      <c r="B120" s="23"/>
    </row>
    <row r="121" spans="1:2" ht="20.25" customHeight="1" x14ac:dyDescent="0.15">
      <c r="A121" s="25"/>
      <c r="B121" s="23"/>
    </row>
    <row r="122" spans="1:2" ht="20.25" customHeight="1" x14ac:dyDescent="0.15">
      <c r="A122" s="25"/>
      <c r="B122" s="23"/>
    </row>
    <row r="123" spans="1:2" ht="20.25" customHeight="1" x14ac:dyDescent="0.15">
      <c r="A123" s="25"/>
      <c r="B123" s="23"/>
    </row>
    <row r="124" spans="1:2" ht="20.25" customHeight="1" x14ac:dyDescent="0.15">
      <c r="A124" s="25"/>
      <c r="B124" s="23"/>
    </row>
    <row r="125" spans="1:2" ht="20.25" customHeight="1" x14ac:dyDescent="0.15">
      <c r="A125" s="25"/>
      <c r="B125" s="23"/>
    </row>
    <row r="126" spans="1:2" ht="20.25" customHeight="1" x14ac:dyDescent="0.15">
      <c r="A126" s="25"/>
      <c r="B126" s="23"/>
    </row>
    <row r="127" spans="1:2" ht="20.25" customHeight="1" x14ac:dyDescent="0.15">
      <c r="A127" s="25"/>
      <c r="B127" s="23"/>
    </row>
    <row r="128" spans="1:2" ht="20.25" customHeight="1" x14ac:dyDescent="0.15">
      <c r="A128" s="25"/>
      <c r="B128" s="23"/>
    </row>
    <row r="129" spans="1:2" ht="20.25" customHeight="1" x14ac:dyDescent="0.15">
      <c r="A129" s="25"/>
      <c r="B129" s="23"/>
    </row>
    <row r="130" spans="1:2" ht="20.25" customHeight="1" x14ac:dyDescent="0.15">
      <c r="A130" s="25"/>
      <c r="B130" s="23"/>
    </row>
    <row r="131" spans="1:2" ht="20.25" customHeight="1" x14ac:dyDescent="0.15">
      <c r="A131" s="25"/>
      <c r="B131" s="23"/>
    </row>
    <row r="132" spans="1:2" ht="20.25" customHeight="1" x14ac:dyDescent="0.15">
      <c r="A132" s="25"/>
      <c r="B132" s="23"/>
    </row>
    <row r="133" spans="1:2" ht="20.25" customHeight="1" x14ac:dyDescent="0.15">
      <c r="A133" s="25"/>
      <c r="B133" s="23"/>
    </row>
    <row r="134" spans="1:2" ht="20.25" customHeight="1" x14ac:dyDescent="0.15">
      <c r="A134" s="25"/>
      <c r="B134" s="23"/>
    </row>
    <row r="135" spans="1:2" ht="20.25" customHeight="1" x14ac:dyDescent="0.15">
      <c r="A135" s="25"/>
      <c r="B135" s="23"/>
    </row>
    <row r="136" spans="1:2" ht="20.25" customHeight="1" x14ac:dyDescent="0.15">
      <c r="A136" s="25"/>
      <c r="B136" s="23"/>
    </row>
    <row r="137" spans="1:2" ht="20.25" customHeight="1" x14ac:dyDescent="0.15">
      <c r="A137" s="25"/>
      <c r="B137" s="23"/>
    </row>
    <row r="138" spans="1:2" ht="20.25" customHeight="1" x14ac:dyDescent="0.15">
      <c r="A138" s="25"/>
      <c r="B138" s="23"/>
    </row>
    <row r="139" spans="1:2" ht="20.25" customHeight="1" x14ac:dyDescent="0.15">
      <c r="A139" s="25"/>
      <c r="B139" s="23"/>
    </row>
    <row r="140" spans="1:2" ht="20.25" customHeight="1" x14ac:dyDescent="0.15">
      <c r="A140" s="25"/>
      <c r="B140" s="23"/>
    </row>
    <row r="141" spans="1:2" ht="20.25" customHeight="1" x14ac:dyDescent="0.15">
      <c r="A141" s="25"/>
      <c r="B141" s="23"/>
    </row>
    <row r="142" spans="1:2" ht="20.25" customHeight="1" x14ac:dyDescent="0.15">
      <c r="A142" s="25"/>
      <c r="B142" s="23"/>
    </row>
    <row r="143" spans="1:2" ht="20.25" customHeight="1" x14ac:dyDescent="0.15">
      <c r="A143" s="25"/>
      <c r="B143" s="23"/>
    </row>
    <row r="144" spans="1:2" ht="20.25" customHeight="1" x14ac:dyDescent="0.15">
      <c r="A144" s="25"/>
      <c r="B144" s="23"/>
    </row>
    <row r="145" spans="1:2" ht="20.25" customHeight="1" x14ac:dyDescent="0.15">
      <c r="A145" s="25"/>
      <c r="B145" s="23"/>
    </row>
    <row r="146" spans="1:2" ht="20.25" customHeight="1" x14ac:dyDescent="0.15">
      <c r="A146" s="25"/>
      <c r="B146" s="23"/>
    </row>
    <row r="147" spans="1:2" ht="20.25" customHeight="1" x14ac:dyDescent="0.15">
      <c r="A147" s="25"/>
      <c r="B147" s="23"/>
    </row>
    <row r="148" spans="1:2" ht="20.25" customHeight="1" x14ac:dyDescent="0.15">
      <c r="A148" s="25"/>
      <c r="B148" s="23"/>
    </row>
    <row r="149" spans="1:2" ht="20.25" customHeight="1" x14ac:dyDescent="0.15">
      <c r="A149" s="25"/>
      <c r="B149" s="23"/>
    </row>
    <row r="150" spans="1:2" ht="20.25" customHeight="1" x14ac:dyDescent="0.15">
      <c r="A150" s="25"/>
      <c r="B150" s="23"/>
    </row>
    <row r="151" spans="1:2" ht="20.25" customHeight="1" x14ac:dyDescent="0.15">
      <c r="A151" s="25"/>
      <c r="B151" s="23"/>
    </row>
    <row r="152" spans="1:2" ht="20.25" customHeight="1" x14ac:dyDescent="0.15">
      <c r="A152" s="25"/>
      <c r="B152" s="23"/>
    </row>
    <row r="153" spans="1:2" ht="20.25" customHeight="1" x14ac:dyDescent="0.15">
      <c r="A153" s="25"/>
      <c r="B153" s="23"/>
    </row>
    <row r="154" spans="1:2" ht="20.25" customHeight="1" x14ac:dyDescent="0.15">
      <c r="A154" s="25"/>
      <c r="B154" s="23"/>
    </row>
    <row r="155" spans="1:2" ht="20.25" customHeight="1" x14ac:dyDescent="0.15">
      <c r="A155" s="25"/>
      <c r="B155" s="23"/>
    </row>
    <row r="156" spans="1:2" ht="20.25" customHeight="1" x14ac:dyDescent="0.15">
      <c r="A156" s="25"/>
      <c r="B156" s="23"/>
    </row>
    <row r="157" spans="1:2" ht="20.25" customHeight="1" x14ac:dyDescent="0.15">
      <c r="A157" s="25"/>
      <c r="B157" s="23"/>
    </row>
    <row r="158" spans="1:2" ht="20.25" customHeight="1" x14ac:dyDescent="0.15">
      <c r="A158" s="25"/>
      <c r="B158" s="23"/>
    </row>
    <row r="159" spans="1:2" ht="20.25" customHeight="1" x14ac:dyDescent="0.15">
      <c r="A159" s="25"/>
      <c r="B159" s="23"/>
    </row>
    <row r="160" spans="1:2" ht="20.25" customHeight="1" x14ac:dyDescent="0.15">
      <c r="A160" s="25"/>
      <c r="B160" s="23"/>
    </row>
    <row r="161" spans="1:2" ht="20.25" customHeight="1" x14ac:dyDescent="0.15">
      <c r="A161" s="25"/>
      <c r="B161" s="23"/>
    </row>
    <row r="162" spans="1:2" ht="20.25" customHeight="1" x14ac:dyDescent="0.15">
      <c r="A162" s="25"/>
      <c r="B162" s="23"/>
    </row>
    <row r="163" spans="1:2" ht="20.25" customHeight="1" x14ac:dyDescent="0.15">
      <c r="A163" s="25"/>
      <c r="B163" s="23"/>
    </row>
    <row r="164" spans="1:2" ht="20.25" customHeight="1" x14ac:dyDescent="0.15">
      <c r="A164" s="25"/>
      <c r="B164" s="23"/>
    </row>
    <row r="165" spans="1:2" ht="20.25" customHeight="1" x14ac:dyDescent="0.15">
      <c r="A165" s="25"/>
      <c r="B165" s="23"/>
    </row>
    <row r="166" spans="1:2" ht="20.25" customHeight="1" x14ac:dyDescent="0.15">
      <c r="A166" s="25"/>
      <c r="B166" s="23"/>
    </row>
    <row r="167" spans="1:2" ht="20.25" customHeight="1" x14ac:dyDescent="0.15">
      <c r="A167" s="25"/>
      <c r="B167" s="23"/>
    </row>
    <row r="168" spans="1:2" ht="20.25" customHeight="1" x14ac:dyDescent="0.15">
      <c r="A168" s="25"/>
      <c r="B168" s="23"/>
    </row>
    <row r="169" spans="1:2" ht="20.25" customHeight="1" x14ac:dyDescent="0.15">
      <c r="A169" s="25"/>
      <c r="B169" s="23"/>
    </row>
    <row r="170" spans="1:2" ht="20.25" customHeight="1" x14ac:dyDescent="0.15">
      <c r="A170" s="25"/>
      <c r="B170" s="23"/>
    </row>
    <row r="171" spans="1:2" ht="20.25" customHeight="1" x14ac:dyDescent="0.15">
      <c r="A171" s="25"/>
      <c r="B171" s="23"/>
    </row>
    <row r="172" spans="1:2" ht="20.25" customHeight="1" x14ac:dyDescent="0.15">
      <c r="A172" s="25"/>
      <c r="B172" s="23"/>
    </row>
    <row r="173" spans="1:2" ht="20.25" customHeight="1" x14ac:dyDescent="0.15">
      <c r="A173" s="25"/>
      <c r="B173" s="23"/>
    </row>
    <row r="174" spans="1:2" ht="20.25" customHeight="1" x14ac:dyDescent="0.15">
      <c r="A174" s="25"/>
      <c r="B174" s="23"/>
    </row>
    <row r="175" spans="1:2" ht="20.25" customHeight="1" x14ac:dyDescent="0.15">
      <c r="A175" s="25"/>
      <c r="B175" s="23"/>
    </row>
    <row r="176" spans="1:2" ht="20.25" customHeight="1" x14ac:dyDescent="0.15">
      <c r="A176" s="25"/>
      <c r="B176" s="23"/>
    </row>
    <row r="177" spans="1:2" ht="20.25" customHeight="1" x14ac:dyDescent="0.15">
      <c r="A177" s="25"/>
      <c r="B177" s="23"/>
    </row>
    <row r="178" spans="1:2" ht="20.25" customHeight="1" x14ac:dyDescent="0.15">
      <c r="A178" s="25"/>
      <c r="B178" s="23"/>
    </row>
    <row r="179" spans="1:2" ht="20.25" customHeight="1" x14ac:dyDescent="0.15">
      <c r="A179" s="25"/>
      <c r="B179" s="23"/>
    </row>
    <row r="180" spans="1:2" ht="20.25" customHeight="1" x14ac:dyDescent="0.15">
      <c r="A180" s="25"/>
      <c r="B180" s="23"/>
    </row>
    <row r="181" spans="1:2" ht="20.25" customHeight="1" x14ac:dyDescent="0.15">
      <c r="A181" s="25"/>
      <c r="B181" s="23"/>
    </row>
    <row r="182" spans="1:2" ht="20.25" customHeight="1" x14ac:dyDescent="0.15">
      <c r="A182" s="25"/>
      <c r="B182" s="23"/>
    </row>
    <row r="183" spans="1:2" ht="20.25" customHeight="1" x14ac:dyDescent="0.15">
      <c r="A183" s="25"/>
      <c r="B183" s="23"/>
    </row>
    <row r="184" spans="1:2" ht="20.25" customHeight="1" x14ac:dyDescent="0.15">
      <c r="A184" s="25"/>
      <c r="B184" s="23"/>
    </row>
    <row r="185" spans="1:2" ht="20.25" customHeight="1" x14ac:dyDescent="0.15">
      <c r="A185" s="25"/>
      <c r="B185" s="23"/>
    </row>
    <row r="186" spans="1:2" ht="20.25" customHeight="1" x14ac:dyDescent="0.15">
      <c r="A186" s="25"/>
      <c r="B186" s="23"/>
    </row>
    <row r="187" spans="1:2" ht="20.25" customHeight="1" x14ac:dyDescent="0.15">
      <c r="A187" s="25"/>
      <c r="B187" s="23"/>
    </row>
    <row r="188" spans="1:2" ht="20.25" customHeight="1" x14ac:dyDescent="0.15">
      <c r="A188" s="25"/>
      <c r="B188" s="23"/>
    </row>
    <row r="189" spans="1:2" ht="20.25" customHeight="1" x14ac:dyDescent="0.15">
      <c r="A189" s="25"/>
      <c r="B189" s="23"/>
    </row>
    <row r="190" spans="1:2" ht="20.25" customHeight="1" x14ac:dyDescent="0.15">
      <c r="A190" s="25"/>
      <c r="B190" s="23"/>
    </row>
    <row r="191" spans="1:2" ht="20.25" customHeight="1" x14ac:dyDescent="0.15">
      <c r="A191" s="25"/>
      <c r="B191" s="23"/>
    </row>
    <row r="192" spans="1:2" ht="20.25" customHeight="1" x14ac:dyDescent="0.15">
      <c r="A192" s="25"/>
      <c r="B192" s="23"/>
    </row>
    <row r="193" spans="1:2" ht="20.25" customHeight="1" x14ac:dyDescent="0.15">
      <c r="A193" s="25"/>
      <c r="B193" s="23"/>
    </row>
    <row r="194" spans="1:2" ht="20.25" customHeight="1" x14ac:dyDescent="0.15">
      <c r="A194" s="25"/>
      <c r="B194" s="23"/>
    </row>
    <row r="195" spans="1:2" ht="20.25" customHeight="1" x14ac:dyDescent="0.15">
      <c r="A195" s="25"/>
      <c r="B195" s="23"/>
    </row>
    <row r="196" spans="1:2" ht="20.25" customHeight="1" x14ac:dyDescent="0.15">
      <c r="A196" s="25"/>
      <c r="B196" s="23"/>
    </row>
    <row r="197" spans="1:2" ht="20.25" customHeight="1" x14ac:dyDescent="0.15">
      <c r="A197" s="25"/>
      <c r="B197" s="23"/>
    </row>
    <row r="198" spans="1:2" ht="20.25" customHeight="1" x14ac:dyDescent="0.15">
      <c r="A198" s="25"/>
      <c r="B198" s="23"/>
    </row>
    <row r="199" spans="1:2" ht="20.25" customHeight="1" x14ac:dyDescent="0.15">
      <c r="A199" s="25"/>
      <c r="B199" s="23"/>
    </row>
    <row r="200" spans="1:2" ht="20.25" customHeight="1" x14ac:dyDescent="0.15">
      <c r="A200" s="25"/>
      <c r="B200" s="23"/>
    </row>
    <row r="201" spans="1:2" ht="20.25" customHeight="1" x14ac:dyDescent="0.15">
      <c r="A201" s="25"/>
      <c r="B201" s="23"/>
    </row>
    <row r="202" spans="1:2" ht="20.25" customHeight="1" x14ac:dyDescent="0.15">
      <c r="A202" s="25"/>
      <c r="B202" s="23"/>
    </row>
    <row r="203" spans="1:2" ht="20.25" customHeight="1" x14ac:dyDescent="0.15">
      <c r="A203" s="25"/>
      <c r="B203" s="23"/>
    </row>
    <row r="204" spans="1:2" ht="20.25" customHeight="1" x14ac:dyDescent="0.15">
      <c r="A204" s="25"/>
      <c r="B204" s="23"/>
    </row>
    <row r="205" spans="1:2" ht="20.25" customHeight="1" x14ac:dyDescent="0.15">
      <c r="A205" s="25"/>
      <c r="B205" s="23"/>
    </row>
    <row r="206" spans="1:2" ht="20.25" customHeight="1" x14ac:dyDescent="0.15">
      <c r="A206" s="25"/>
      <c r="B206" s="23"/>
    </row>
    <row r="207" spans="1:2" ht="20.25" customHeight="1" x14ac:dyDescent="0.15">
      <c r="A207" s="25"/>
      <c r="B207" s="23"/>
    </row>
    <row r="208" spans="1:2" ht="20.25" customHeight="1" x14ac:dyDescent="0.15">
      <c r="A208" s="25"/>
      <c r="B208" s="23"/>
    </row>
    <row r="209" spans="1:2" ht="20.25" customHeight="1" x14ac:dyDescent="0.15">
      <c r="A209" s="25"/>
      <c r="B209" s="23"/>
    </row>
    <row r="210" spans="1:2" ht="20.25" customHeight="1" x14ac:dyDescent="0.15">
      <c r="A210" s="25"/>
      <c r="B210" s="23"/>
    </row>
    <row r="211" spans="1:2" ht="20.25" customHeight="1" x14ac:dyDescent="0.15">
      <c r="A211" s="25"/>
      <c r="B211" s="23"/>
    </row>
    <row r="212" spans="1:2" ht="20.25" customHeight="1" x14ac:dyDescent="0.15">
      <c r="A212" s="25"/>
      <c r="B212" s="23"/>
    </row>
    <row r="213" spans="1:2" ht="20.25" customHeight="1" x14ac:dyDescent="0.15">
      <c r="A213" s="25"/>
      <c r="B213" s="23"/>
    </row>
    <row r="214" spans="1:2" ht="20.25" customHeight="1" x14ac:dyDescent="0.15">
      <c r="A214" s="25"/>
      <c r="B214" s="23"/>
    </row>
    <row r="215" spans="1:2" ht="20.25" customHeight="1" x14ac:dyDescent="0.15">
      <c r="A215" s="25"/>
      <c r="B215" s="23"/>
    </row>
    <row r="216" spans="1:2" ht="20.25" customHeight="1" x14ac:dyDescent="0.15">
      <c r="A216" s="25"/>
      <c r="B216" s="23"/>
    </row>
    <row r="217" spans="1:2" ht="20.25" customHeight="1" x14ac:dyDescent="0.15">
      <c r="A217" s="25"/>
      <c r="B217" s="23"/>
    </row>
    <row r="218" spans="1:2" ht="20.25" customHeight="1" x14ac:dyDescent="0.15">
      <c r="A218" s="25"/>
      <c r="B218" s="23"/>
    </row>
    <row r="219" spans="1:2" ht="20.25" customHeight="1" x14ac:dyDescent="0.15">
      <c r="A219" s="25"/>
      <c r="B219" s="23"/>
    </row>
    <row r="220" spans="1:2" ht="20.25" customHeight="1" x14ac:dyDescent="0.15">
      <c r="A220" s="25"/>
      <c r="B220" s="23"/>
    </row>
    <row r="221" spans="1:2" ht="20.25" customHeight="1" x14ac:dyDescent="0.15">
      <c r="A221" s="25"/>
      <c r="B221" s="23"/>
    </row>
    <row r="222" spans="1:2" ht="20.25" customHeight="1" x14ac:dyDescent="0.15">
      <c r="A222" s="25"/>
      <c r="B222" s="23"/>
    </row>
    <row r="223" spans="1:2" ht="20.25" customHeight="1" x14ac:dyDescent="0.15">
      <c r="A223" s="25"/>
      <c r="B223" s="23"/>
    </row>
    <row r="224" spans="1:2" ht="20.25" customHeight="1" x14ac:dyDescent="0.15">
      <c r="A224" s="25"/>
      <c r="B224" s="23"/>
    </row>
    <row r="225" spans="1:2" ht="20.25" customHeight="1" x14ac:dyDescent="0.15">
      <c r="A225" s="25"/>
      <c r="B225" s="23"/>
    </row>
    <row r="226" spans="1:2" ht="20.25" customHeight="1" x14ac:dyDescent="0.15">
      <c r="A226" s="25"/>
      <c r="B226" s="23"/>
    </row>
    <row r="227" spans="1:2" ht="20.25" customHeight="1" x14ac:dyDescent="0.15">
      <c r="A227" s="25"/>
      <c r="B227" s="23"/>
    </row>
    <row r="228" spans="1:2" ht="20.25" customHeight="1" x14ac:dyDescent="0.15">
      <c r="A228" s="25"/>
      <c r="B228" s="23"/>
    </row>
    <row r="229" spans="1:2" ht="20.25" customHeight="1" x14ac:dyDescent="0.15">
      <c r="A229" s="25"/>
      <c r="B229" s="23"/>
    </row>
    <row r="230" spans="1:2" ht="20.25" customHeight="1" x14ac:dyDescent="0.15">
      <c r="A230" s="25"/>
      <c r="B230" s="23"/>
    </row>
    <row r="231" spans="1:2" ht="20.25" customHeight="1" x14ac:dyDescent="0.15">
      <c r="A231" s="25"/>
      <c r="B231" s="23"/>
    </row>
    <row r="232" spans="1:2" ht="20.25" customHeight="1" x14ac:dyDescent="0.15">
      <c r="A232" s="25"/>
      <c r="B232" s="23"/>
    </row>
    <row r="233" spans="1:2" ht="20.25" customHeight="1" x14ac:dyDescent="0.15">
      <c r="A233" s="25"/>
      <c r="B233" s="23"/>
    </row>
    <row r="234" spans="1:2" ht="20.25" customHeight="1" x14ac:dyDescent="0.15">
      <c r="A234" s="25"/>
      <c r="B234" s="23"/>
    </row>
    <row r="235" spans="1:2" ht="20.25" customHeight="1" x14ac:dyDescent="0.15">
      <c r="A235" s="25"/>
      <c r="B235" s="23"/>
    </row>
    <row r="236" spans="1:2" ht="20.25" customHeight="1" x14ac:dyDescent="0.15">
      <c r="A236" s="25"/>
      <c r="B236" s="23"/>
    </row>
    <row r="237" spans="1:2" ht="20.25" customHeight="1" x14ac:dyDescent="0.15">
      <c r="A237" s="24"/>
      <c r="B237" s="23"/>
    </row>
    <row r="238" spans="1:2" ht="20.25" customHeight="1" x14ac:dyDescent="0.15">
      <c r="A238" s="24"/>
      <c r="B238" s="23"/>
    </row>
    <row r="239" spans="1:2" ht="20.25" customHeight="1" x14ac:dyDescent="0.15">
      <c r="A239" s="24"/>
      <c r="B239" s="23"/>
    </row>
    <row r="240" spans="1:2" ht="20.25" customHeight="1" x14ac:dyDescent="0.15">
      <c r="A240" s="24"/>
      <c r="B240" s="23"/>
    </row>
    <row r="241" spans="1:2" ht="20.25" customHeight="1" x14ac:dyDescent="0.15">
      <c r="A241" s="24"/>
      <c r="B241" s="23"/>
    </row>
    <row r="242" spans="1:2" ht="20.25" customHeight="1" x14ac:dyDescent="0.15">
      <c r="A242" s="24"/>
      <c r="B242" s="23"/>
    </row>
    <row r="243" spans="1:2" ht="20.25" customHeight="1" x14ac:dyDescent="0.15">
      <c r="A243" s="24"/>
      <c r="B243" s="23"/>
    </row>
    <row r="244" spans="1:2" ht="20.25" customHeight="1" x14ac:dyDescent="0.15">
      <c r="A244" s="24"/>
      <c r="B244" s="23"/>
    </row>
    <row r="245" spans="1:2" ht="20.25" customHeight="1" x14ac:dyDescent="0.15">
      <c r="A245" s="24"/>
      <c r="B245" s="23"/>
    </row>
    <row r="246" spans="1:2" ht="20.25" customHeight="1" x14ac:dyDescent="0.15">
      <c r="A246" s="24"/>
      <c r="B246" s="23"/>
    </row>
    <row r="247" spans="1:2" ht="20.25" customHeight="1" x14ac:dyDescent="0.15">
      <c r="A247" s="24"/>
      <c r="B247" s="23"/>
    </row>
    <row r="248" spans="1:2" ht="20.25" customHeight="1" x14ac:dyDescent="0.15">
      <c r="A248" s="24"/>
      <c r="B248" s="23"/>
    </row>
    <row r="249" spans="1:2" ht="20.25" customHeight="1" x14ac:dyDescent="0.15">
      <c r="A249" s="24"/>
      <c r="B249" s="23"/>
    </row>
    <row r="250" spans="1:2" ht="20.25" customHeight="1" x14ac:dyDescent="0.15">
      <c r="A250" s="24"/>
      <c r="B250" s="23"/>
    </row>
    <row r="251" spans="1:2" ht="20.25" customHeight="1" x14ac:dyDescent="0.15">
      <c r="A251" s="24"/>
      <c r="B251" s="23"/>
    </row>
    <row r="252" spans="1:2" ht="20.25" customHeight="1" x14ac:dyDescent="0.15">
      <c r="A252" s="24"/>
      <c r="B252" s="23"/>
    </row>
    <row r="253" spans="1:2" ht="20.25" customHeight="1" x14ac:dyDescent="0.15">
      <c r="A253" s="24"/>
      <c r="B253" s="23"/>
    </row>
    <row r="254" spans="1:2" ht="20.25" customHeight="1" x14ac:dyDescent="0.15">
      <c r="A254" s="24"/>
      <c r="B254" s="23"/>
    </row>
    <row r="255" spans="1:2" ht="20.25" customHeight="1" x14ac:dyDescent="0.15">
      <c r="A255" s="24"/>
      <c r="B255" s="23"/>
    </row>
    <row r="256" spans="1:2" ht="20.25" customHeight="1" x14ac:dyDescent="0.15">
      <c r="A256" s="24"/>
      <c r="B256" s="23"/>
    </row>
    <row r="257" spans="1:2" ht="20.25" customHeight="1" x14ac:dyDescent="0.15">
      <c r="A257" s="24"/>
      <c r="B257" s="23"/>
    </row>
    <row r="258" spans="1:2" ht="20.25" customHeight="1" x14ac:dyDescent="0.15">
      <c r="A258" s="24"/>
      <c r="B258" s="23"/>
    </row>
    <row r="259" spans="1:2" ht="20.25" customHeight="1" x14ac:dyDescent="0.15">
      <c r="A259" s="24"/>
      <c r="B259" s="23"/>
    </row>
    <row r="260" spans="1:2" ht="20.25" customHeight="1" x14ac:dyDescent="0.15">
      <c r="A260" s="24"/>
      <c r="B260" s="23"/>
    </row>
    <row r="261" spans="1:2" ht="20.25" customHeight="1" x14ac:dyDescent="0.15">
      <c r="A261" s="24"/>
      <c r="B261" s="23"/>
    </row>
    <row r="262" spans="1:2" ht="20.25" customHeight="1" x14ac:dyDescent="0.15">
      <c r="A262" s="24"/>
      <c r="B262" s="23"/>
    </row>
    <row r="263" spans="1:2" ht="20.25" customHeight="1" x14ac:dyDescent="0.15">
      <c r="A263" s="24"/>
      <c r="B263" s="23"/>
    </row>
    <row r="264" spans="1:2" ht="20.25" customHeight="1" x14ac:dyDescent="0.15">
      <c r="A264" s="24"/>
      <c r="B264" s="23"/>
    </row>
    <row r="265" spans="1:2" ht="20.25" customHeight="1" x14ac:dyDescent="0.15">
      <c r="A265" s="24"/>
      <c r="B265" s="23"/>
    </row>
    <row r="266" spans="1:2" ht="20.25" customHeight="1" x14ac:dyDescent="0.15">
      <c r="A266" s="24"/>
      <c r="B266" s="23"/>
    </row>
    <row r="267" spans="1:2" ht="20.25" customHeight="1" x14ac:dyDescent="0.15">
      <c r="A267" s="24"/>
      <c r="B267" s="23"/>
    </row>
    <row r="268" spans="1:2" ht="20.25" customHeight="1" x14ac:dyDescent="0.15">
      <c r="A268" s="24"/>
      <c r="B268" s="23"/>
    </row>
    <row r="269" spans="1:2" ht="20.25" customHeight="1" x14ac:dyDescent="0.15">
      <c r="A269" s="24"/>
      <c r="B269" s="23"/>
    </row>
    <row r="270" spans="1:2" ht="20.25" customHeight="1" x14ac:dyDescent="0.15">
      <c r="A270" s="24"/>
      <c r="B270" s="23"/>
    </row>
    <row r="271" spans="1:2" ht="20.25" customHeight="1" x14ac:dyDescent="0.15">
      <c r="A271" s="24"/>
      <c r="B271" s="23"/>
    </row>
    <row r="272" spans="1:2" ht="20.25" customHeight="1" x14ac:dyDescent="0.15">
      <c r="A272" s="24"/>
      <c r="B272" s="23"/>
    </row>
    <row r="273" spans="1:2" ht="20.25" customHeight="1" x14ac:dyDescent="0.15">
      <c r="A273" s="24"/>
      <c r="B273" s="23"/>
    </row>
    <row r="274" spans="1:2" ht="20.25" customHeight="1" x14ac:dyDescent="0.15">
      <c r="A274" s="24"/>
      <c r="B274" s="23"/>
    </row>
    <row r="275" spans="1:2" ht="20.25" customHeight="1" x14ac:dyDescent="0.15">
      <c r="A275" s="24"/>
      <c r="B275" s="23"/>
    </row>
    <row r="276" spans="1:2" ht="20.25" customHeight="1" x14ac:dyDescent="0.15">
      <c r="A276" s="24"/>
      <c r="B276" s="23"/>
    </row>
    <row r="277" spans="1:2" ht="20.25" customHeight="1" x14ac:dyDescent="0.15">
      <c r="A277" s="24"/>
      <c r="B277" s="23"/>
    </row>
    <row r="278" spans="1:2" ht="20.25" customHeight="1" x14ac:dyDescent="0.15">
      <c r="A278" s="24"/>
      <c r="B278" s="23"/>
    </row>
    <row r="279" spans="1:2" ht="20.25" customHeight="1" x14ac:dyDescent="0.15">
      <c r="A279" s="24"/>
      <c r="B279" s="23"/>
    </row>
    <row r="280" spans="1:2" ht="20.25" customHeight="1" x14ac:dyDescent="0.15">
      <c r="A280" s="24"/>
      <c r="B280" s="23"/>
    </row>
    <row r="281" spans="1:2" ht="20.25" customHeight="1" x14ac:dyDescent="0.15">
      <c r="A281" s="24"/>
      <c r="B281" s="23"/>
    </row>
    <row r="282" spans="1:2" ht="20.25" customHeight="1" x14ac:dyDescent="0.15">
      <c r="A282" s="24"/>
      <c r="B282" s="23"/>
    </row>
    <row r="283" spans="1:2" ht="20.25" customHeight="1" x14ac:dyDescent="0.15">
      <c r="A283" s="24"/>
      <c r="B283" s="23"/>
    </row>
    <row r="284" spans="1:2" ht="20.25" customHeight="1" x14ac:dyDescent="0.15">
      <c r="A284" s="24"/>
      <c r="B284" s="23"/>
    </row>
    <row r="285" spans="1:2" ht="20.25" customHeight="1" x14ac:dyDescent="0.15">
      <c r="A285" s="24"/>
      <c r="B285" s="23"/>
    </row>
    <row r="286" spans="1:2" ht="20.25" customHeight="1" x14ac:dyDescent="0.15">
      <c r="A286" s="24"/>
      <c r="B286" s="23"/>
    </row>
    <row r="287" spans="1:2" ht="20.25" customHeight="1" x14ac:dyDescent="0.15">
      <c r="A287" s="24"/>
      <c r="B287" s="23"/>
    </row>
    <row r="288" spans="1:2" ht="20.25" customHeight="1" x14ac:dyDescent="0.15">
      <c r="A288" s="24"/>
      <c r="B288" s="23"/>
    </row>
    <row r="289" spans="1:2" ht="20.25" customHeight="1" x14ac:dyDescent="0.15">
      <c r="A289" s="24"/>
      <c r="B289" s="23"/>
    </row>
    <row r="290" spans="1:2" ht="20.25" customHeight="1" x14ac:dyDescent="0.15">
      <c r="A290" s="24"/>
      <c r="B290" s="23"/>
    </row>
    <row r="291" spans="1:2" ht="20.25" customHeight="1" x14ac:dyDescent="0.15">
      <c r="A291" s="24"/>
      <c r="B291" s="23"/>
    </row>
    <row r="292" spans="1:2" ht="20.25" customHeight="1" x14ac:dyDescent="0.15">
      <c r="A292" s="24"/>
      <c r="B292" s="23"/>
    </row>
    <row r="293" spans="1:2" ht="20.25" customHeight="1" x14ac:dyDescent="0.15">
      <c r="A293" s="24"/>
      <c r="B293" s="23"/>
    </row>
    <row r="294" spans="1:2" ht="20.25" customHeight="1" x14ac:dyDescent="0.15">
      <c r="A294" s="24"/>
      <c r="B294" s="23"/>
    </row>
    <row r="295" spans="1:2" ht="20.25" customHeight="1" x14ac:dyDescent="0.15">
      <c r="A295" s="24"/>
      <c r="B295" s="23"/>
    </row>
    <row r="296" spans="1:2" ht="20.25" customHeight="1" x14ac:dyDescent="0.15">
      <c r="A296" s="24"/>
      <c r="B296" s="23"/>
    </row>
    <row r="297" spans="1:2" ht="20.25" customHeight="1" x14ac:dyDescent="0.15">
      <c r="A297" s="24"/>
      <c r="B297" s="23"/>
    </row>
    <row r="298" spans="1:2" ht="20.25" customHeight="1" x14ac:dyDescent="0.15">
      <c r="A298" s="24"/>
      <c r="B298" s="23"/>
    </row>
    <row r="299" spans="1:2" ht="20.25" customHeight="1" x14ac:dyDescent="0.15">
      <c r="A299" s="24"/>
      <c r="B299" s="23"/>
    </row>
    <row r="300" spans="1:2" ht="20.25" customHeight="1" x14ac:dyDescent="0.15">
      <c r="A300" s="24"/>
      <c r="B300" s="23"/>
    </row>
    <row r="301" spans="1:2" ht="20.25" customHeight="1" x14ac:dyDescent="0.15">
      <c r="A301" s="24"/>
      <c r="B301" s="23"/>
    </row>
    <row r="302" spans="1:2" ht="20.25" customHeight="1" x14ac:dyDescent="0.15">
      <c r="A302" s="24"/>
      <c r="B302" s="23"/>
    </row>
    <row r="303" spans="1:2" ht="20.25" customHeight="1" x14ac:dyDescent="0.15">
      <c r="A303" s="24"/>
      <c r="B303" s="23"/>
    </row>
    <row r="304" spans="1:2" ht="20.25" customHeight="1" x14ac:dyDescent="0.15">
      <c r="A304" s="24"/>
      <c r="B304" s="23"/>
    </row>
    <row r="305" spans="1:2" ht="20.25" customHeight="1" x14ac:dyDescent="0.15">
      <c r="A305" s="24"/>
      <c r="B305" s="23"/>
    </row>
    <row r="306" spans="1:2" ht="20.25" customHeight="1" x14ac:dyDescent="0.15">
      <c r="A306" s="24"/>
      <c r="B306" s="23"/>
    </row>
    <row r="307" spans="1:2" ht="20.25" customHeight="1" x14ac:dyDescent="0.15">
      <c r="A307" s="24"/>
      <c r="B307" s="23"/>
    </row>
    <row r="308" spans="1:2" ht="20.25" customHeight="1" x14ac:dyDescent="0.15">
      <c r="A308" s="24"/>
      <c r="B308" s="23"/>
    </row>
    <row r="309" spans="1:2" ht="20.25" customHeight="1" x14ac:dyDescent="0.15">
      <c r="A309" s="24"/>
      <c r="B309" s="23"/>
    </row>
    <row r="310" spans="1:2" ht="20.25" customHeight="1" x14ac:dyDescent="0.15">
      <c r="A310" s="24"/>
      <c r="B310" s="23"/>
    </row>
    <row r="311" spans="1:2" ht="20.25" customHeight="1" x14ac:dyDescent="0.15">
      <c r="A311" s="24"/>
      <c r="B311" s="23"/>
    </row>
    <row r="312" spans="1:2" ht="20.25" customHeight="1" x14ac:dyDescent="0.15">
      <c r="A312" s="24"/>
      <c r="B312" s="23"/>
    </row>
    <row r="313" spans="1:2" ht="20.25" customHeight="1" x14ac:dyDescent="0.15">
      <c r="A313" s="24"/>
      <c r="B313" s="23"/>
    </row>
    <row r="314" spans="1:2" ht="20.25" customHeight="1" x14ac:dyDescent="0.15">
      <c r="A314" s="24"/>
      <c r="B314" s="23"/>
    </row>
    <row r="315" spans="1:2" ht="20.25" customHeight="1" x14ac:dyDescent="0.15">
      <c r="A315" s="24"/>
      <c r="B315" s="23"/>
    </row>
    <row r="316" spans="1:2" ht="20.25" customHeight="1" x14ac:dyDescent="0.15">
      <c r="A316" s="24"/>
      <c r="B316" s="23"/>
    </row>
    <row r="317" spans="1:2" ht="20.25" customHeight="1" x14ac:dyDescent="0.15">
      <c r="A317" s="24"/>
      <c r="B317" s="23"/>
    </row>
    <row r="318" spans="1:2" ht="20.25" customHeight="1" x14ac:dyDescent="0.15">
      <c r="A318" s="24"/>
      <c r="B318" s="23"/>
    </row>
    <row r="319" spans="1:2" ht="20.25" customHeight="1" x14ac:dyDescent="0.15">
      <c r="A319" s="24"/>
      <c r="B319" s="23"/>
    </row>
    <row r="320" spans="1:2" ht="20.25" customHeight="1" x14ac:dyDescent="0.15">
      <c r="A320" s="24"/>
      <c r="B320" s="23"/>
    </row>
    <row r="321" spans="1:2" ht="20.25" customHeight="1" x14ac:dyDescent="0.15">
      <c r="A321" s="24"/>
      <c r="B321" s="23"/>
    </row>
    <row r="322" spans="1:2" ht="20.25" customHeight="1" x14ac:dyDescent="0.15">
      <c r="A322" s="24"/>
      <c r="B322" s="23"/>
    </row>
    <row r="323" spans="1:2" ht="20.25" customHeight="1" x14ac:dyDescent="0.15">
      <c r="A323" s="24"/>
      <c r="B323" s="23"/>
    </row>
    <row r="324" spans="1:2" ht="20.25" customHeight="1" x14ac:dyDescent="0.15">
      <c r="A324" s="24"/>
      <c r="B324" s="23"/>
    </row>
    <row r="325" spans="1:2" ht="20.25" customHeight="1" x14ac:dyDescent="0.15">
      <c r="A325" s="24"/>
      <c r="B325" s="23"/>
    </row>
    <row r="326" spans="1:2" ht="20.25" customHeight="1" x14ac:dyDescent="0.15">
      <c r="A326" s="24"/>
      <c r="B326" s="23"/>
    </row>
    <row r="327" spans="1:2" ht="20.25" customHeight="1" x14ac:dyDescent="0.15">
      <c r="A327" s="24"/>
      <c r="B327" s="23"/>
    </row>
    <row r="328" spans="1:2" ht="20.25" customHeight="1" x14ac:dyDescent="0.15">
      <c r="A328" s="24"/>
      <c r="B328" s="23"/>
    </row>
    <row r="329" spans="1:2" ht="20.25" customHeight="1" x14ac:dyDescent="0.15">
      <c r="A329" s="24"/>
      <c r="B329" s="23"/>
    </row>
    <row r="330" spans="1:2" ht="20.25" customHeight="1" x14ac:dyDescent="0.15">
      <c r="A330" s="24"/>
      <c r="B330" s="23"/>
    </row>
    <row r="331" spans="1:2" ht="20.25" customHeight="1" x14ac:dyDescent="0.15">
      <c r="A331" s="24"/>
      <c r="B331" s="23"/>
    </row>
    <row r="332" spans="1:2" ht="20.25" customHeight="1" x14ac:dyDescent="0.15">
      <c r="A332" s="24"/>
      <c r="B332" s="23"/>
    </row>
    <row r="333" spans="1:2" ht="20.25" customHeight="1" x14ac:dyDescent="0.15">
      <c r="A333" s="24"/>
      <c r="B333" s="23"/>
    </row>
    <row r="334" spans="1:2" ht="20.25" customHeight="1" x14ac:dyDescent="0.15">
      <c r="A334" s="24"/>
      <c r="B334" s="23"/>
    </row>
    <row r="335" spans="1:2" ht="20.25" customHeight="1" x14ac:dyDescent="0.15">
      <c r="A335" s="24"/>
      <c r="B335" s="23"/>
    </row>
    <row r="336" spans="1:2" ht="20.25" customHeight="1" x14ac:dyDescent="0.15">
      <c r="A336" s="24"/>
      <c r="B336" s="23"/>
    </row>
    <row r="337" spans="1:2" ht="20.25" customHeight="1" x14ac:dyDescent="0.15">
      <c r="A337" s="24"/>
      <c r="B337" s="23"/>
    </row>
    <row r="338" spans="1:2" ht="20.25" customHeight="1" x14ac:dyDescent="0.15">
      <c r="A338" s="24"/>
      <c r="B338" s="23"/>
    </row>
    <row r="339" spans="1:2" ht="20.25" customHeight="1" x14ac:dyDescent="0.15">
      <c r="A339" s="24"/>
      <c r="B339" s="23"/>
    </row>
    <row r="340" spans="1:2" ht="20.25" customHeight="1" x14ac:dyDescent="0.15">
      <c r="B340" s="22"/>
    </row>
    <row r="341" spans="1:2" ht="20.25" customHeight="1" x14ac:dyDescent="0.15">
      <c r="B341" s="22"/>
    </row>
    <row r="342" spans="1:2" ht="20.25" customHeight="1" x14ac:dyDescent="0.15">
      <c r="B342" s="22"/>
    </row>
    <row r="343" spans="1:2" ht="20.25" customHeight="1" x14ac:dyDescent="0.15">
      <c r="B343" s="22"/>
    </row>
    <row r="344" spans="1:2" ht="20.25" customHeight="1" x14ac:dyDescent="0.15">
      <c r="B344" s="22"/>
    </row>
    <row r="345" spans="1:2" ht="20.25" customHeight="1" x14ac:dyDescent="0.15">
      <c r="B345" s="22"/>
    </row>
    <row r="346" spans="1:2" ht="20.25" customHeight="1" x14ac:dyDescent="0.15">
      <c r="B346" s="22"/>
    </row>
    <row r="347" spans="1:2" ht="20.25" customHeight="1" x14ac:dyDescent="0.15">
      <c r="B347" s="22"/>
    </row>
    <row r="348" spans="1:2" ht="20.25" customHeight="1" x14ac:dyDescent="0.15">
      <c r="B348" s="22"/>
    </row>
    <row r="349" spans="1:2" ht="20.25" customHeight="1" x14ac:dyDescent="0.15">
      <c r="B349" s="22"/>
    </row>
    <row r="350" spans="1:2" ht="20.25" customHeight="1" x14ac:dyDescent="0.15">
      <c r="B350" s="22"/>
    </row>
    <row r="351" spans="1:2" ht="20.25" customHeight="1" x14ac:dyDescent="0.15">
      <c r="B351" s="22"/>
    </row>
    <row r="352" spans="1:2" ht="20.25" customHeight="1" x14ac:dyDescent="0.15">
      <c r="B352" s="22"/>
    </row>
    <row r="353" spans="2:2" ht="20.25" customHeight="1" x14ac:dyDescent="0.15">
      <c r="B353" s="22"/>
    </row>
    <row r="354" spans="2:2" ht="20.25" customHeight="1" x14ac:dyDescent="0.15">
      <c r="B354" s="22"/>
    </row>
    <row r="355" spans="2:2" ht="20.25" customHeight="1" x14ac:dyDescent="0.15">
      <c r="B355" s="22"/>
    </row>
    <row r="356" spans="2:2" ht="20.25" customHeight="1" x14ac:dyDescent="0.15">
      <c r="B356" s="22"/>
    </row>
    <row r="357" spans="2:2" ht="20.25" customHeight="1" x14ac:dyDescent="0.15">
      <c r="B357" s="22"/>
    </row>
    <row r="358" spans="2:2" ht="20.25" customHeight="1" x14ac:dyDescent="0.15">
      <c r="B358" s="22"/>
    </row>
    <row r="359" spans="2:2" ht="20.25" customHeight="1" x14ac:dyDescent="0.15">
      <c r="B359" s="22"/>
    </row>
    <row r="360" spans="2:2" ht="20.25" customHeight="1" x14ac:dyDescent="0.15">
      <c r="B360" s="22"/>
    </row>
    <row r="361" spans="2:2" ht="20.25" customHeight="1" x14ac:dyDescent="0.15">
      <c r="B361" s="22"/>
    </row>
    <row r="362" spans="2:2" ht="20.25" customHeight="1" x14ac:dyDescent="0.15">
      <c r="B362" s="22"/>
    </row>
    <row r="363" spans="2:2" ht="20.25" customHeight="1" x14ac:dyDescent="0.15">
      <c r="B363" s="22"/>
    </row>
    <row r="364" spans="2:2" ht="20.25" customHeight="1" x14ac:dyDescent="0.15">
      <c r="B364" s="22"/>
    </row>
    <row r="365" spans="2:2" ht="20.25" customHeight="1" x14ac:dyDescent="0.15">
      <c r="B365" s="22"/>
    </row>
    <row r="366" spans="2:2" ht="20.25" customHeight="1" x14ac:dyDescent="0.15">
      <c r="B366" s="22"/>
    </row>
    <row r="367" spans="2:2" ht="20.25" customHeight="1" x14ac:dyDescent="0.15">
      <c r="B367" s="22"/>
    </row>
    <row r="368" spans="2:2" ht="20.25" customHeight="1" x14ac:dyDescent="0.15">
      <c r="B368" s="22"/>
    </row>
    <row r="369" spans="2:2" ht="20.25" customHeight="1" x14ac:dyDescent="0.15">
      <c r="B369" s="22"/>
    </row>
    <row r="370" spans="2:2" ht="20.25" customHeight="1" x14ac:dyDescent="0.15">
      <c r="B370" s="22"/>
    </row>
    <row r="371" spans="2:2" ht="20.25" customHeight="1" x14ac:dyDescent="0.15">
      <c r="B371" s="22"/>
    </row>
    <row r="372" spans="2:2" ht="20.25" customHeight="1" x14ac:dyDescent="0.15">
      <c r="B372" s="22"/>
    </row>
    <row r="373" spans="2:2" ht="20.25" customHeight="1" x14ac:dyDescent="0.15">
      <c r="B373" s="22"/>
    </row>
    <row r="374" spans="2:2" ht="20.25" customHeight="1" x14ac:dyDescent="0.15">
      <c r="B374" s="22"/>
    </row>
    <row r="375" spans="2:2" ht="20.25" customHeight="1" x14ac:dyDescent="0.15">
      <c r="B375" s="22"/>
    </row>
    <row r="376" spans="2:2" ht="20.25" customHeight="1" x14ac:dyDescent="0.15">
      <c r="B376" s="22"/>
    </row>
    <row r="377" spans="2:2" ht="20.25" customHeight="1" x14ac:dyDescent="0.15">
      <c r="B377" s="22"/>
    </row>
    <row r="378" spans="2:2" ht="20.25" customHeight="1" x14ac:dyDescent="0.15">
      <c r="B378" s="22"/>
    </row>
    <row r="379" spans="2:2" ht="20.25" customHeight="1" x14ac:dyDescent="0.15">
      <c r="B379" s="22"/>
    </row>
    <row r="380" spans="2:2" ht="20.25" customHeight="1" x14ac:dyDescent="0.15">
      <c r="B380" s="22"/>
    </row>
    <row r="381" spans="2:2" ht="20.25" customHeight="1" x14ac:dyDescent="0.15">
      <c r="B381" s="22"/>
    </row>
    <row r="382" spans="2:2" ht="20.25" customHeight="1" x14ac:dyDescent="0.15">
      <c r="B382" s="22"/>
    </row>
    <row r="383" spans="2:2" ht="20.25" customHeight="1" x14ac:dyDescent="0.15">
      <c r="B383" s="22"/>
    </row>
    <row r="384" spans="2:2" ht="20.25" customHeight="1" x14ac:dyDescent="0.15">
      <c r="B384" s="22"/>
    </row>
    <row r="385" spans="2:2" ht="20.25" customHeight="1" x14ac:dyDescent="0.15">
      <c r="B385" s="22"/>
    </row>
    <row r="386" spans="2:2" ht="20.25" customHeight="1" x14ac:dyDescent="0.15">
      <c r="B386" s="22"/>
    </row>
    <row r="387" spans="2:2" ht="20.25" customHeight="1" x14ac:dyDescent="0.15">
      <c r="B387" s="22"/>
    </row>
    <row r="388" spans="2:2" ht="20.25" customHeight="1" x14ac:dyDescent="0.15">
      <c r="B388" s="22"/>
    </row>
    <row r="389" spans="2:2" ht="20.25" customHeight="1" x14ac:dyDescent="0.15">
      <c r="B389" s="22"/>
    </row>
    <row r="390" spans="2:2" ht="20.25" customHeight="1" x14ac:dyDescent="0.15">
      <c r="B390" s="22"/>
    </row>
    <row r="391" spans="2:2" ht="20.25" customHeight="1" x14ac:dyDescent="0.15">
      <c r="B391" s="22"/>
    </row>
    <row r="392" spans="2:2" ht="20.25" customHeight="1" x14ac:dyDescent="0.15">
      <c r="B392" s="22"/>
    </row>
    <row r="393" spans="2:2" ht="20.25" customHeight="1" x14ac:dyDescent="0.15">
      <c r="B393" s="22"/>
    </row>
    <row r="394" spans="2:2" ht="20.25" customHeight="1" x14ac:dyDescent="0.15">
      <c r="B394" s="22"/>
    </row>
    <row r="395" spans="2:2" ht="20.25" customHeight="1" x14ac:dyDescent="0.15">
      <c r="B395" s="22"/>
    </row>
    <row r="396" spans="2:2" ht="20.25" customHeight="1" x14ac:dyDescent="0.15">
      <c r="B396" s="22"/>
    </row>
    <row r="397" spans="2:2" ht="20.25" customHeight="1" x14ac:dyDescent="0.15">
      <c r="B397" s="22"/>
    </row>
    <row r="398" spans="2:2" ht="20.25" customHeight="1" x14ac:dyDescent="0.15">
      <c r="B398" s="22"/>
    </row>
    <row r="399" spans="2:2" ht="20.25" customHeight="1" x14ac:dyDescent="0.15">
      <c r="B399" s="22"/>
    </row>
    <row r="400" spans="2:2" ht="20.25" customHeight="1" x14ac:dyDescent="0.15">
      <c r="B400" s="22"/>
    </row>
    <row r="401" spans="2:2" ht="20.25" customHeight="1" x14ac:dyDescent="0.15">
      <c r="B401" s="22"/>
    </row>
    <row r="402" spans="2:2" ht="20.25" customHeight="1" x14ac:dyDescent="0.15">
      <c r="B402" s="22"/>
    </row>
    <row r="403" spans="2:2" ht="20.25" customHeight="1" x14ac:dyDescent="0.15">
      <c r="B403" s="22"/>
    </row>
    <row r="404" spans="2:2" ht="20.25" customHeight="1" x14ac:dyDescent="0.15">
      <c r="B404" s="22"/>
    </row>
    <row r="405" spans="2:2" ht="20.25" customHeight="1" x14ac:dyDescent="0.15">
      <c r="B405" s="22"/>
    </row>
    <row r="406" spans="2:2" ht="20.25" customHeight="1" x14ac:dyDescent="0.15">
      <c r="B406" s="22"/>
    </row>
    <row r="407" spans="2:2" ht="20.25" customHeight="1" x14ac:dyDescent="0.15">
      <c r="B407" s="22"/>
    </row>
    <row r="408" spans="2:2" ht="20.25" customHeight="1" x14ac:dyDescent="0.15">
      <c r="B408" s="22"/>
    </row>
    <row r="409" spans="2:2" ht="20.25" customHeight="1" x14ac:dyDescent="0.15">
      <c r="B409" s="22"/>
    </row>
    <row r="410" spans="2:2" ht="20.25" customHeight="1" x14ac:dyDescent="0.15">
      <c r="B410" s="22"/>
    </row>
    <row r="411" spans="2:2" ht="20.25" customHeight="1" x14ac:dyDescent="0.15">
      <c r="B411" s="22"/>
    </row>
    <row r="412" spans="2:2" ht="20.25" customHeight="1" x14ac:dyDescent="0.15">
      <c r="B412" s="22"/>
    </row>
    <row r="413" spans="2:2" ht="20.25" customHeight="1" x14ac:dyDescent="0.15">
      <c r="B413" s="22"/>
    </row>
    <row r="414" spans="2:2" ht="20.25" customHeight="1" x14ac:dyDescent="0.15">
      <c r="B414" s="22"/>
    </row>
    <row r="415" spans="2:2" ht="20.25" customHeight="1" x14ac:dyDescent="0.15">
      <c r="B415" s="22"/>
    </row>
    <row r="416" spans="2:2" ht="20.25" customHeight="1" x14ac:dyDescent="0.15">
      <c r="B416" s="22"/>
    </row>
    <row r="417" spans="2:2" ht="20.25" customHeight="1" x14ac:dyDescent="0.15">
      <c r="B417" s="22"/>
    </row>
    <row r="418" spans="2:2" ht="20.25" customHeight="1" x14ac:dyDescent="0.15">
      <c r="B418" s="22"/>
    </row>
    <row r="419" spans="2:2" ht="20.25" customHeight="1" x14ac:dyDescent="0.15">
      <c r="B419" s="22"/>
    </row>
    <row r="420" spans="2:2" ht="20.25" customHeight="1" x14ac:dyDescent="0.15">
      <c r="B420" s="22"/>
    </row>
    <row r="421" spans="2:2" ht="20.25" customHeight="1" x14ac:dyDescent="0.15">
      <c r="B421" s="22"/>
    </row>
    <row r="422" spans="2:2" ht="20.25" customHeight="1" x14ac:dyDescent="0.15">
      <c r="B422" s="22"/>
    </row>
    <row r="423" spans="2:2" ht="20.25" customHeight="1" x14ac:dyDescent="0.15">
      <c r="B423" s="22"/>
    </row>
    <row r="424" spans="2:2" ht="20.25" customHeight="1" x14ac:dyDescent="0.15">
      <c r="B424" s="22"/>
    </row>
    <row r="425" spans="2:2" ht="20.25" customHeight="1" x14ac:dyDescent="0.15">
      <c r="B425" s="22"/>
    </row>
    <row r="426" spans="2:2" ht="20.25" customHeight="1" x14ac:dyDescent="0.15">
      <c r="B426" s="22"/>
    </row>
    <row r="427" spans="2:2" ht="20.25" customHeight="1" x14ac:dyDescent="0.15">
      <c r="B427" s="22"/>
    </row>
    <row r="428" spans="2:2" ht="20.25" customHeight="1" x14ac:dyDescent="0.15">
      <c r="B428" s="22"/>
    </row>
    <row r="429" spans="2:2" ht="20.25" customHeight="1" x14ac:dyDescent="0.15">
      <c r="B429" s="22"/>
    </row>
    <row r="430" spans="2:2" ht="20.25" customHeight="1" x14ac:dyDescent="0.15">
      <c r="B430" s="22"/>
    </row>
    <row r="431" spans="2:2" ht="20.25" customHeight="1" x14ac:dyDescent="0.15">
      <c r="B431" s="22"/>
    </row>
    <row r="432" spans="2:2" ht="20.25" customHeight="1" x14ac:dyDescent="0.15">
      <c r="B432" s="22"/>
    </row>
    <row r="433" spans="2:2" ht="20.25" customHeight="1" x14ac:dyDescent="0.15">
      <c r="B433" s="22"/>
    </row>
    <row r="434" spans="2:2" ht="20.25" customHeight="1" x14ac:dyDescent="0.15">
      <c r="B434" s="22"/>
    </row>
    <row r="435" spans="2:2" ht="20.25" customHeight="1" x14ac:dyDescent="0.15">
      <c r="B435" s="22"/>
    </row>
    <row r="436" spans="2:2" ht="20.25" customHeight="1" x14ac:dyDescent="0.15">
      <c r="B436" s="22"/>
    </row>
    <row r="437" spans="2:2" ht="20.25" customHeight="1" x14ac:dyDescent="0.15">
      <c r="B437" s="22"/>
    </row>
    <row r="438" spans="2:2" ht="20.25" customHeight="1" x14ac:dyDescent="0.15">
      <c r="B438" s="22"/>
    </row>
    <row r="439" spans="2:2" ht="20.25" customHeight="1" x14ac:dyDescent="0.15">
      <c r="B439" s="22"/>
    </row>
    <row r="440" spans="2:2" ht="20.25" customHeight="1" x14ac:dyDescent="0.15">
      <c r="B440" s="22"/>
    </row>
    <row r="441" spans="2:2" ht="20.25" customHeight="1" x14ac:dyDescent="0.15">
      <c r="B441" s="22"/>
    </row>
    <row r="442" spans="2:2" ht="20.25" customHeight="1" x14ac:dyDescent="0.15">
      <c r="B442" s="22"/>
    </row>
    <row r="443" spans="2:2" ht="20.25" customHeight="1" x14ac:dyDescent="0.15">
      <c r="B443" s="22"/>
    </row>
    <row r="444" spans="2:2" ht="20.25" customHeight="1" x14ac:dyDescent="0.15">
      <c r="B444" s="22"/>
    </row>
    <row r="445" spans="2:2" ht="20.25" customHeight="1" x14ac:dyDescent="0.15">
      <c r="B445" s="22"/>
    </row>
    <row r="446" spans="2:2" ht="20.25" customHeight="1" x14ac:dyDescent="0.15">
      <c r="B446" s="22"/>
    </row>
    <row r="447" spans="2:2" ht="20.25" customHeight="1" x14ac:dyDescent="0.15">
      <c r="B447" s="22"/>
    </row>
    <row r="448" spans="2:2" ht="20.25" customHeight="1" x14ac:dyDescent="0.15">
      <c r="B448" s="22"/>
    </row>
    <row r="449" spans="2:2" ht="20.25" customHeight="1" x14ac:dyDescent="0.15">
      <c r="B449" s="22"/>
    </row>
    <row r="450" spans="2:2" ht="20.25" customHeight="1" x14ac:dyDescent="0.15">
      <c r="B450" s="22"/>
    </row>
    <row r="451" spans="2:2" ht="20.25" customHeight="1" x14ac:dyDescent="0.15">
      <c r="B451" s="22"/>
    </row>
    <row r="452" spans="2:2" ht="20.25" customHeight="1" x14ac:dyDescent="0.15">
      <c r="B452" s="22"/>
    </row>
    <row r="453" spans="2:2" ht="20.25" customHeight="1" x14ac:dyDescent="0.15">
      <c r="B453" s="22"/>
    </row>
    <row r="454" spans="2:2" ht="20.25" customHeight="1" x14ac:dyDescent="0.15">
      <c r="B454" s="22"/>
    </row>
    <row r="455" spans="2:2" ht="20.25" customHeight="1" x14ac:dyDescent="0.15">
      <c r="B455" s="22"/>
    </row>
    <row r="456" spans="2:2" ht="20.25" customHeight="1" x14ac:dyDescent="0.15">
      <c r="B456" s="22"/>
    </row>
    <row r="457" spans="2:2" ht="20.25" customHeight="1" x14ac:dyDescent="0.15">
      <c r="B457" s="22"/>
    </row>
    <row r="458" spans="2:2" ht="20.25" customHeight="1" x14ac:dyDescent="0.15">
      <c r="B458" s="22"/>
    </row>
    <row r="459" spans="2:2" ht="20.25" customHeight="1" x14ac:dyDescent="0.15">
      <c r="B459" s="22"/>
    </row>
    <row r="460" spans="2:2" ht="20.25" customHeight="1" x14ac:dyDescent="0.15">
      <c r="B460" s="22"/>
    </row>
    <row r="461" spans="2:2" ht="20.25" customHeight="1" x14ac:dyDescent="0.15">
      <c r="B461" s="22"/>
    </row>
    <row r="462" spans="2:2" ht="20.25" customHeight="1" x14ac:dyDescent="0.15">
      <c r="B462" s="22"/>
    </row>
    <row r="463" spans="2:2" ht="20.25" customHeight="1" x14ac:dyDescent="0.15">
      <c r="B463" s="22"/>
    </row>
    <row r="464" spans="2:2" ht="20.25" customHeight="1" x14ac:dyDescent="0.15">
      <c r="B464" s="22"/>
    </row>
    <row r="465" spans="2:2" ht="20.25" customHeight="1" x14ac:dyDescent="0.15">
      <c r="B465" s="22"/>
    </row>
    <row r="466" spans="2:2" ht="20.25" customHeight="1" x14ac:dyDescent="0.15">
      <c r="B466" s="22"/>
    </row>
    <row r="467" spans="2:2" ht="20.25" customHeight="1" x14ac:dyDescent="0.15">
      <c r="B467" s="22"/>
    </row>
    <row r="468" spans="2:2" ht="20.25" customHeight="1" x14ac:dyDescent="0.15">
      <c r="B468" s="22"/>
    </row>
    <row r="469" spans="2:2" ht="20.25" customHeight="1" x14ac:dyDescent="0.15">
      <c r="B469" s="22"/>
    </row>
    <row r="470" spans="2:2" ht="20.25" customHeight="1" x14ac:dyDescent="0.15">
      <c r="B470" s="22"/>
    </row>
    <row r="471" spans="2:2" ht="20.25" customHeight="1" x14ac:dyDescent="0.15">
      <c r="B471" s="22"/>
    </row>
    <row r="472" spans="2:2" ht="20.25" customHeight="1" x14ac:dyDescent="0.15">
      <c r="B472" s="22"/>
    </row>
    <row r="473" spans="2:2" ht="20.25" customHeight="1" x14ac:dyDescent="0.15">
      <c r="B473" s="22"/>
    </row>
    <row r="474" spans="2:2" ht="20.25" customHeight="1" x14ac:dyDescent="0.15">
      <c r="B474" s="22"/>
    </row>
    <row r="475" spans="2:2" ht="20.25" customHeight="1" x14ac:dyDescent="0.15">
      <c r="B475" s="22"/>
    </row>
    <row r="476" spans="2:2" ht="20.25" customHeight="1" x14ac:dyDescent="0.15">
      <c r="B476" s="22"/>
    </row>
    <row r="477" spans="2:2" ht="20.25" customHeight="1" x14ac:dyDescent="0.15">
      <c r="B477" s="22"/>
    </row>
    <row r="478" spans="2:2" ht="20.25" customHeight="1" x14ac:dyDescent="0.15">
      <c r="B478" s="22"/>
    </row>
    <row r="479" spans="2:2" ht="20.25" customHeight="1" x14ac:dyDescent="0.15">
      <c r="B479" s="22"/>
    </row>
    <row r="480" spans="2:2" ht="20.25" customHeight="1" x14ac:dyDescent="0.15">
      <c r="B480" s="22"/>
    </row>
    <row r="481" spans="2:2" ht="20.25" customHeight="1" x14ac:dyDescent="0.15">
      <c r="B481" s="22"/>
    </row>
    <row r="482" spans="2:2" ht="20.25" customHeight="1" x14ac:dyDescent="0.15">
      <c r="B482" s="22"/>
    </row>
    <row r="483" spans="2:2" ht="20.25" customHeight="1" x14ac:dyDescent="0.15">
      <c r="B483" s="22"/>
    </row>
    <row r="484" spans="2:2" ht="20.25" customHeight="1" x14ac:dyDescent="0.15">
      <c r="B484" s="22"/>
    </row>
    <row r="485" spans="2:2" ht="20.25" customHeight="1" x14ac:dyDescent="0.15">
      <c r="B485" s="22"/>
    </row>
    <row r="486" spans="2:2" ht="20.25" customHeight="1" x14ac:dyDescent="0.15">
      <c r="B486" s="22"/>
    </row>
    <row r="487" spans="2:2" ht="20.25" customHeight="1" x14ac:dyDescent="0.15">
      <c r="B487" s="22"/>
    </row>
    <row r="488" spans="2:2" ht="20.25" customHeight="1" x14ac:dyDescent="0.15">
      <c r="B488" s="22"/>
    </row>
    <row r="489" spans="2:2" ht="20.25" customHeight="1" x14ac:dyDescent="0.15">
      <c r="B489" s="22"/>
    </row>
    <row r="490" spans="2:2" ht="20.25" customHeight="1" x14ac:dyDescent="0.15">
      <c r="B490" s="22"/>
    </row>
    <row r="491" spans="2:2" ht="20.25" customHeight="1" x14ac:dyDescent="0.15">
      <c r="B491" s="22"/>
    </row>
    <row r="492" spans="2:2" ht="20.25" customHeight="1" x14ac:dyDescent="0.15">
      <c r="B492" s="22"/>
    </row>
    <row r="493" spans="2:2" ht="20.25" customHeight="1" x14ac:dyDescent="0.15">
      <c r="B493" s="22"/>
    </row>
    <row r="494" spans="2:2" ht="20.25" customHeight="1" x14ac:dyDescent="0.15">
      <c r="B494" s="22"/>
    </row>
    <row r="495" spans="2:2" ht="20.25" customHeight="1" x14ac:dyDescent="0.15">
      <c r="B495" s="22"/>
    </row>
    <row r="496" spans="2:2" ht="20.25" customHeight="1" x14ac:dyDescent="0.15">
      <c r="B496" s="22"/>
    </row>
    <row r="497" spans="2:2" ht="20.25" customHeight="1" x14ac:dyDescent="0.15">
      <c r="B497" s="22"/>
    </row>
    <row r="498" spans="2:2" ht="20.25" customHeight="1" x14ac:dyDescent="0.15">
      <c r="B498" s="22"/>
    </row>
    <row r="499" spans="2:2" ht="20.25" customHeight="1" x14ac:dyDescent="0.15">
      <c r="B499" s="22"/>
    </row>
    <row r="500" spans="2:2" ht="20.25" customHeight="1" x14ac:dyDescent="0.15">
      <c r="B500" s="22"/>
    </row>
    <row r="501" spans="2:2" ht="20.25" customHeight="1" x14ac:dyDescent="0.15">
      <c r="B501" s="22"/>
    </row>
    <row r="502" spans="2:2" ht="20.25" customHeight="1" x14ac:dyDescent="0.15">
      <c r="B502" s="22"/>
    </row>
    <row r="503" spans="2:2" ht="20.25" customHeight="1" x14ac:dyDescent="0.15">
      <c r="B503" s="22"/>
    </row>
    <row r="504" spans="2:2" ht="20.25" customHeight="1" x14ac:dyDescent="0.15">
      <c r="B504" s="22"/>
    </row>
    <row r="505" spans="2:2" ht="20.25" customHeight="1" x14ac:dyDescent="0.15">
      <c r="B505" s="22"/>
    </row>
    <row r="506" spans="2:2" ht="20.25" customHeight="1" x14ac:dyDescent="0.15">
      <c r="B506" s="22"/>
    </row>
    <row r="507" spans="2:2" ht="20.25" customHeight="1" x14ac:dyDescent="0.15">
      <c r="B507" s="22"/>
    </row>
    <row r="508" spans="2:2" ht="20.25" customHeight="1" x14ac:dyDescent="0.15">
      <c r="B508" s="22"/>
    </row>
    <row r="509" spans="2:2" ht="20.25" customHeight="1" x14ac:dyDescent="0.15">
      <c r="B509" s="22"/>
    </row>
    <row r="510" spans="2:2" ht="20.25" customHeight="1" x14ac:dyDescent="0.15">
      <c r="B510" s="22"/>
    </row>
    <row r="511" spans="2:2" ht="20.25" customHeight="1" x14ac:dyDescent="0.15">
      <c r="B511" s="22"/>
    </row>
    <row r="512" spans="2:2" ht="20.25" customHeight="1" x14ac:dyDescent="0.15">
      <c r="B512" s="22"/>
    </row>
    <row r="513" spans="2:2" ht="20.25" customHeight="1" x14ac:dyDescent="0.15">
      <c r="B513" s="22"/>
    </row>
    <row r="514" spans="2:2" ht="20.25" customHeight="1" x14ac:dyDescent="0.15">
      <c r="B514" s="22"/>
    </row>
    <row r="515" spans="2:2" ht="20.25" customHeight="1" x14ac:dyDescent="0.15">
      <c r="B515" s="22"/>
    </row>
    <row r="516" spans="2:2" ht="20.25" customHeight="1" x14ac:dyDescent="0.15">
      <c r="B516" s="22"/>
    </row>
    <row r="517" spans="2:2" ht="20.25" customHeight="1" x14ac:dyDescent="0.15">
      <c r="B517" s="22"/>
    </row>
    <row r="518" spans="2:2" ht="20.25" customHeight="1" x14ac:dyDescent="0.15">
      <c r="B518" s="22"/>
    </row>
    <row r="519" spans="2:2" ht="20.25" customHeight="1" x14ac:dyDescent="0.15">
      <c r="B519" s="22"/>
    </row>
    <row r="520" spans="2:2" ht="20.25" customHeight="1" x14ac:dyDescent="0.15">
      <c r="B520" s="22"/>
    </row>
    <row r="521" spans="2:2" ht="20.25" customHeight="1" x14ac:dyDescent="0.15">
      <c r="B521" s="22"/>
    </row>
    <row r="522" spans="2:2" ht="20.25" customHeight="1" x14ac:dyDescent="0.15">
      <c r="B522" s="22"/>
    </row>
    <row r="523" spans="2:2" ht="20.25" customHeight="1" x14ac:dyDescent="0.15">
      <c r="B523" s="22"/>
    </row>
    <row r="524" spans="2:2" ht="20.25" customHeight="1" x14ac:dyDescent="0.15">
      <c r="B524" s="22"/>
    </row>
    <row r="525" spans="2:2" ht="20.25" customHeight="1" x14ac:dyDescent="0.15">
      <c r="B525" s="22"/>
    </row>
    <row r="526" spans="2:2" ht="20.25" customHeight="1" x14ac:dyDescent="0.15">
      <c r="B526" s="22"/>
    </row>
    <row r="527" spans="2:2" ht="20.25" customHeight="1" x14ac:dyDescent="0.15">
      <c r="B527" s="22"/>
    </row>
  </sheetData>
  <mergeCells count="10">
    <mergeCell ref="A1:L1"/>
    <mergeCell ref="A2:B2"/>
    <mergeCell ref="A5:B5"/>
    <mergeCell ref="A6:B6"/>
    <mergeCell ref="A21:B21"/>
    <mergeCell ref="A3:B4"/>
    <mergeCell ref="C3:E3"/>
    <mergeCell ref="F3:F4"/>
    <mergeCell ref="G3:I3"/>
    <mergeCell ref="J3:L3"/>
  </mergeCells>
  <phoneticPr fontId="5" type="noConversion"/>
  <conditionalFormatting sqref="C5:L38">
    <cfRule type="expression" dxfId="5" priority="1">
      <formula>C5&lt;&gt;#REF!</formula>
    </cfRule>
  </conditionalFormatting>
  <pageMargins left="1.1811023622047245" right="0.78740157480314965" top="1.5748031496062993" bottom="1.5748031496062993" header="0.19685039370078741" footer="0.19685039370078741"/>
  <pageSetup paperSize="9" scale="61" orientation="portrait" blackAndWhite="1" horizontalDpi="300" verticalDpi="300" r:id="rId1"/>
  <headerFooter alignWithMargins="0">
    <oddFooter xml:space="preserve">&amp;R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6"/>
  <sheetViews>
    <sheetView view="pageBreakPreview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32" sqref="F32"/>
    </sheetView>
  </sheetViews>
  <sheetFormatPr defaultColWidth="13.28515625" defaultRowHeight="15.95" customHeight="1" x14ac:dyDescent="0.15"/>
  <cols>
    <col min="1" max="1" width="13.28515625" style="53"/>
    <col min="2" max="3" width="13.28515625" style="2"/>
    <col min="4" max="4" width="13.28515625" style="53"/>
    <col min="5" max="26" width="13.28515625" style="52"/>
    <col min="27" max="16384" width="13.28515625" style="2"/>
  </cols>
  <sheetData>
    <row r="1" spans="1:26" s="75" customFormat="1" ht="33" customHeight="1" x14ac:dyDescent="0.15">
      <c r="A1" s="148" t="s">
        <v>179</v>
      </c>
      <c r="B1" s="148"/>
      <c r="C1" s="148"/>
      <c r="D1" s="14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s="71" customFormat="1" ht="23.25" customHeight="1" thickBot="1" x14ac:dyDescent="0.2">
      <c r="A2" s="74" t="s">
        <v>178</v>
      </c>
      <c r="B2" s="73"/>
      <c r="C2" s="73"/>
      <c r="D2" s="48" t="s">
        <v>177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s="66" customFormat="1" ht="18.75" customHeight="1" x14ac:dyDescent="0.15">
      <c r="A3" s="171" t="s">
        <v>176</v>
      </c>
      <c r="B3" s="173" t="s">
        <v>175</v>
      </c>
      <c r="C3" s="174"/>
      <c r="D3" s="175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s="66" customFormat="1" ht="18.75" customHeight="1" x14ac:dyDescent="0.15">
      <c r="A4" s="172"/>
      <c r="B4" s="70" t="s">
        <v>0</v>
      </c>
      <c r="C4" s="69" t="s">
        <v>1</v>
      </c>
      <c r="D4" s="68" t="s">
        <v>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s="53" customFormat="1" ht="26.25" customHeight="1" x14ac:dyDescent="0.15">
      <c r="A5" s="65" t="s">
        <v>174</v>
      </c>
      <c r="B5" s="64">
        <f>SUM(B6,B12,B18,B24,B30,B36,B42,B48,B54,B60,B66,B72,B78,B84,B90,B96,B102,B108,B114,B120,B126)</f>
        <v>563279</v>
      </c>
      <c r="C5" s="64">
        <f>SUM(C6,C12,C18,C24,C30,C36,C42,C48,C54,C60,C66,C72,C78,C84,C90,C96,C102,C108,C114,C120,C126)</f>
        <v>277696</v>
      </c>
      <c r="D5" s="64">
        <f>SUM(D6,D12,D18,D24,D30,D36,D42,D48,D54,D60,D66,D72,D78,D84,D90,D96,D102,D108,D114,D120,D126)</f>
        <v>285583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s="54" customFormat="1" ht="18.75" customHeight="1" x14ac:dyDescent="0.15">
      <c r="A6" s="57" t="s">
        <v>173</v>
      </c>
      <c r="B6" s="56">
        <f>SUM(B7:B11)</f>
        <v>16800</v>
      </c>
      <c r="C6" s="56">
        <f>SUM(C7:C11)</f>
        <v>8593</v>
      </c>
      <c r="D6" s="56">
        <f>SUM(D7:D11)</f>
        <v>8207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s="54" customFormat="1" ht="18.75" customHeight="1" x14ac:dyDescent="0.15">
      <c r="A7" s="62" t="s">
        <v>172</v>
      </c>
      <c r="B7" s="61">
        <v>3767</v>
      </c>
      <c r="C7" s="63">
        <v>1919</v>
      </c>
      <c r="D7" s="63">
        <v>1848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s="54" customFormat="1" ht="18.75" customHeight="1" x14ac:dyDescent="0.15">
      <c r="A8" s="62" t="s">
        <v>171</v>
      </c>
      <c r="B8" s="61">
        <v>3468</v>
      </c>
      <c r="C8" s="63">
        <v>1799</v>
      </c>
      <c r="D8" s="63">
        <v>1669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s="54" customFormat="1" ht="18.75" customHeight="1" x14ac:dyDescent="0.15">
      <c r="A9" s="62" t="s">
        <v>170</v>
      </c>
      <c r="B9" s="61">
        <v>3078</v>
      </c>
      <c r="C9" s="63">
        <v>1588</v>
      </c>
      <c r="D9" s="63">
        <v>1490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s="54" customFormat="1" ht="18.75" customHeight="1" x14ac:dyDescent="0.15">
      <c r="A10" s="62" t="s">
        <v>169</v>
      </c>
      <c r="B10" s="61">
        <v>3275</v>
      </c>
      <c r="C10" s="63">
        <v>1682</v>
      </c>
      <c r="D10" s="63">
        <v>1593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s="54" customFormat="1" ht="18.75" customHeight="1" x14ac:dyDescent="0.15">
      <c r="A11" s="62" t="s">
        <v>168</v>
      </c>
      <c r="B11" s="61">
        <v>3212</v>
      </c>
      <c r="C11" s="63">
        <v>1605</v>
      </c>
      <c r="D11" s="63">
        <v>1607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s="54" customFormat="1" ht="18.75" customHeight="1" x14ac:dyDescent="0.15">
      <c r="A12" s="57" t="s">
        <v>167</v>
      </c>
      <c r="B12" s="56">
        <v>18364</v>
      </c>
      <c r="C12" s="56">
        <v>9312</v>
      </c>
      <c r="D12" s="56">
        <v>9052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s="54" customFormat="1" ht="18.75" customHeight="1" x14ac:dyDescent="0.15">
      <c r="A13" s="62" t="s">
        <v>166</v>
      </c>
      <c r="B13" s="61">
        <v>3205</v>
      </c>
      <c r="C13" s="63">
        <v>1632</v>
      </c>
      <c r="D13" s="63">
        <v>1573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s="58" customFormat="1" ht="18.75" customHeight="1" x14ac:dyDescent="0.15">
      <c r="A14" s="62" t="s">
        <v>165</v>
      </c>
      <c r="B14" s="61">
        <v>3379</v>
      </c>
      <c r="C14" s="63">
        <v>1695</v>
      </c>
      <c r="D14" s="63">
        <v>1684</v>
      </c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s="58" customFormat="1" ht="18.75" customHeight="1" x14ac:dyDescent="0.15">
      <c r="A15" s="62" t="s">
        <v>164</v>
      </c>
      <c r="B15" s="61">
        <v>3634</v>
      </c>
      <c r="C15" s="63">
        <v>1858</v>
      </c>
      <c r="D15" s="63">
        <v>1776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s="58" customFormat="1" ht="18.75" customHeight="1" x14ac:dyDescent="0.15">
      <c r="A16" s="62" t="s">
        <v>163</v>
      </c>
      <c r="B16" s="61">
        <v>3810</v>
      </c>
      <c r="C16" s="63">
        <v>1921</v>
      </c>
      <c r="D16" s="63">
        <v>1889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s="58" customFormat="1" ht="18.75" customHeight="1" x14ac:dyDescent="0.15">
      <c r="A17" s="62" t="s">
        <v>162</v>
      </c>
      <c r="B17" s="61">
        <v>4336</v>
      </c>
      <c r="C17" s="63">
        <v>2206</v>
      </c>
      <c r="D17" s="63">
        <v>2130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s="54" customFormat="1" ht="18.75" customHeight="1" x14ac:dyDescent="0.15">
      <c r="A18" s="57" t="s">
        <v>161</v>
      </c>
      <c r="B18" s="56">
        <v>24075</v>
      </c>
      <c r="C18" s="56">
        <v>12282</v>
      </c>
      <c r="D18" s="56">
        <v>11793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s="54" customFormat="1" ht="18.75" customHeight="1" x14ac:dyDescent="0.15">
      <c r="A19" s="62" t="s">
        <v>160</v>
      </c>
      <c r="B19" s="61">
        <v>4788</v>
      </c>
      <c r="C19" s="63">
        <v>2379</v>
      </c>
      <c r="D19" s="63">
        <v>2409</v>
      </c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s="58" customFormat="1" ht="18.75" customHeight="1" x14ac:dyDescent="0.15">
      <c r="A20" s="62" t="s">
        <v>159</v>
      </c>
      <c r="B20" s="61">
        <v>4714</v>
      </c>
      <c r="C20" s="63">
        <v>2393</v>
      </c>
      <c r="D20" s="63">
        <v>2321</v>
      </c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s="58" customFormat="1" ht="18.75" customHeight="1" x14ac:dyDescent="0.15">
      <c r="A21" s="62" t="s">
        <v>158</v>
      </c>
      <c r="B21" s="61">
        <v>4517</v>
      </c>
      <c r="C21" s="63">
        <v>2329</v>
      </c>
      <c r="D21" s="63">
        <v>2188</v>
      </c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s="58" customFormat="1" ht="18.75" customHeight="1" x14ac:dyDescent="0.15">
      <c r="A22" s="62" t="s">
        <v>157</v>
      </c>
      <c r="B22" s="61">
        <v>5081</v>
      </c>
      <c r="C22" s="63">
        <v>2633</v>
      </c>
      <c r="D22" s="63">
        <v>2448</v>
      </c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s="58" customFormat="1" ht="18.75" customHeight="1" x14ac:dyDescent="0.15">
      <c r="A23" s="62" t="s">
        <v>156</v>
      </c>
      <c r="B23" s="61">
        <v>4975</v>
      </c>
      <c r="C23" s="63">
        <v>2548</v>
      </c>
      <c r="D23" s="63">
        <v>2427</v>
      </c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s="54" customFormat="1" ht="18.75" customHeight="1" x14ac:dyDescent="0.15">
      <c r="A24" s="57" t="s">
        <v>155</v>
      </c>
      <c r="B24" s="56">
        <v>25103</v>
      </c>
      <c r="C24" s="56">
        <v>12938</v>
      </c>
      <c r="D24" s="56">
        <v>12165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s="58" customFormat="1" ht="18.75" customHeight="1" x14ac:dyDescent="0.15">
      <c r="A25" s="62" t="s">
        <v>154</v>
      </c>
      <c r="B25" s="61">
        <v>5056</v>
      </c>
      <c r="C25" s="63">
        <v>2633</v>
      </c>
      <c r="D25" s="63">
        <v>2423</v>
      </c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s="54" customFormat="1" ht="18.75" customHeight="1" x14ac:dyDescent="0.15">
      <c r="A26" s="62" t="s">
        <v>153</v>
      </c>
      <c r="B26" s="61">
        <v>4683</v>
      </c>
      <c r="C26" s="63">
        <v>2407</v>
      </c>
      <c r="D26" s="63">
        <v>2276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s="58" customFormat="1" ht="18.75" customHeight="1" x14ac:dyDescent="0.15">
      <c r="A27" s="62" t="s">
        <v>152</v>
      </c>
      <c r="B27" s="61">
        <v>5063</v>
      </c>
      <c r="C27" s="63">
        <v>2616</v>
      </c>
      <c r="D27" s="63">
        <v>2447</v>
      </c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s="58" customFormat="1" ht="18.75" customHeight="1" x14ac:dyDescent="0.15">
      <c r="A28" s="62" t="s">
        <v>151</v>
      </c>
      <c r="B28" s="61">
        <v>5231</v>
      </c>
      <c r="C28" s="63">
        <v>2713</v>
      </c>
      <c r="D28" s="63">
        <v>2518</v>
      </c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s="58" customFormat="1" ht="18.75" customHeight="1" x14ac:dyDescent="0.15">
      <c r="A29" s="62" t="s">
        <v>150</v>
      </c>
      <c r="B29" s="61">
        <v>5070</v>
      </c>
      <c r="C29" s="63">
        <v>2569</v>
      </c>
      <c r="D29" s="63">
        <v>2501</v>
      </c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s="54" customFormat="1" ht="18.75" customHeight="1" x14ac:dyDescent="0.15">
      <c r="A30" s="57" t="s">
        <v>149</v>
      </c>
      <c r="B30" s="56">
        <v>26777</v>
      </c>
      <c r="C30" s="56">
        <v>13686</v>
      </c>
      <c r="D30" s="56">
        <v>13091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s="58" customFormat="1" ht="18.75" customHeight="1" x14ac:dyDescent="0.15">
      <c r="A31" s="62" t="s">
        <v>148</v>
      </c>
      <c r="B31" s="61">
        <v>4839</v>
      </c>
      <c r="C31" s="63">
        <v>2449</v>
      </c>
      <c r="D31" s="63">
        <v>2390</v>
      </c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s="58" customFormat="1" ht="18.75" customHeight="1" x14ac:dyDescent="0.15">
      <c r="A32" s="62" t="s">
        <v>147</v>
      </c>
      <c r="B32" s="61">
        <v>5106</v>
      </c>
      <c r="C32" s="63">
        <v>2659</v>
      </c>
      <c r="D32" s="63">
        <v>2447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s="58" customFormat="1" ht="18.75" customHeight="1" x14ac:dyDescent="0.15">
      <c r="A33" s="62" t="s">
        <v>146</v>
      </c>
      <c r="B33" s="61">
        <v>5561</v>
      </c>
      <c r="C33" s="63">
        <v>2878</v>
      </c>
      <c r="D33" s="63">
        <v>2683</v>
      </c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s="58" customFormat="1" ht="18.75" customHeight="1" x14ac:dyDescent="0.15">
      <c r="A34" s="62" t="s">
        <v>145</v>
      </c>
      <c r="B34" s="61">
        <v>5267</v>
      </c>
      <c r="C34" s="63">
        <v>2716</v>
      </c>
      <c r="D34" s="63">
        <v>2551</v>
      </c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s="58" customFormat="1" ht="18.75" customHeight="1" x14ac:dyDescent="0.15">
      <c r="A35" s="62" t="s">
        <v>144</v>
      </c>
      <c r="B35" s="61">
        <v>6004</v>
      </c>
      <c r="C35" s="63">
        <v>2984</v>
      </c>
      <c r="D35" s="63">
        <v>3020</v>
      </c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s="54" customFormat="1" ht="18.75" customHeight="1" x14ac:dyDescent="0.15">
      <c r="A36" s="57" t="s">
        <v>143</v>
      </c>
      <c r="B36" s="56">
        <v>37330</v>
      </c>
      <c r="C36" s="56">
        <v>19299</v>
      </c>
      <c r="D36" s="56">
        <v>18031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s="58" customFormat="1" ht="18.75" customHeight="1" x14ac:dyDescent="0.15">
      <c r="A37" s="62" t="s">
        <v>142</v>
      </c>
      <c r="B37" s="61">
        <v>7126</v>
      </c>
      <c r="C37" s="63">
        <v>3652</v>
      </c>
      <c r="D37" s="63">
        <v>3474</v>
      </c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s="58" customFormat="1" ht="18.75" customHeight="1" x14ac:dyDescent="0.15">
      <c r="A38" s="62" t="s">
        <v>141</v>
      </c>
      <c r="B38" s="61">
        <v>6981</v>
      </c>
      <c r="C38" s="63">
        <v>3625</v>
      </c>
      <c r="D38" s="63">
        <v>3356</v>
      </c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s="58" customFormat="1" ht="18.75" customHeight="1" x14ac:dyDescent="0.15">
      <c r="A39" s="62" t="s">
        <v>140</v>
      </c>
      <c r="B39" s="61">
        <v>7286</v>
      </c>
      <c r="C39" s="63">
        <v>3729</v>
      </c>
      <c r="D39" s="63">
        <v>3557</v>
      </c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s="58" customFormat="1" ht="18.75" customHeight="1" x14ac:dyDescent="0.15">
      <c r="A40" s="62" t="s">
        <v>139</v>
      </c>
      <c r="B40" s="61">
        <v>7750</v>
      </c>
      <c r="C40" s="63">
        <v>3962</v>
      </c>
      <c r="D40" s="63">
        <v>3788</v>
      </c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s="58" customFormat="1" ht="18.75" customHeight="1" x14ac:dyDescent="0.15">
      <c r="A41" s="62" t="s">
        <v>138</v>
      </c>
      <c r="B41" s="61">
        <v>8187</v>
      </c>
      <c r="C41" s="63">
        <v>4331</v>
      </c>
      <c r="D41" s="63">
        <v>3856</v>
      </c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s="54" customFormat="1" ht="18.75" customHeight="1" x14ac:dyDescent="0.15">
      <c r="A42" s="57" t="s">
        <v>137</v>
      </c>
      <c r="B42" s="56">
        <v>45284</v>
      </c>
      <c r="C42" s="56">
        <v>23373</v>
      </c>
      <c r="D42" s="56">
        <v>21911</v>
      </c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s="58" customFormat="1" ht="18.75" customHeight="1" x14ac:dyDescent="0.15">
      <c r="A43" s="62" t="s">
        <v>136</v>
      </c>
      <c r="B43" s="61">
        <v>8531</v>
      </c>
      <c r="C43" s="63">
        <v>4381</v>
      </c>
      <c r="D43" s="63">
        <v>4150</v>
      </c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s="58" customFormat="1" ht="18.75" customHeight="1" x14ac:dyDescent="0.15">
      <c r="A44" s="62" t="s">
        <v>135</v>
      </c>
      <c r="B44" s="61">
        <v>8834</v>
      </c>
      <c r="C44" s="63">
        <v>4570</v>
      </c>
      <c r="D44" s="63">
        <v>4264</v>
      </c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s="58" customFormat="1" ht="18.75" customHeight="1" x14ac:dyDescent="0.15">
      <c r="A45" s="62" t="s">
        <v>134</v>
      </c>
      <c r="B45" s="61">
        <v>9039</v>
      </c>
      <c r="C45" s="63">
        <v>4679</v>
      </c>
      <c r="D45" s="63">
        <v>4360</v>
      </c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s="58" customFormat="1" ht="18.75" customHeight="1" x14ac:dyDescent="0.15">
      <c r="A46" s="62" t="s">
        <v>133</v>
      </c>
      <c r="B46" s="61">
        <v>9490</v>
      </c>
      <c r="C46" s="63">
        <v>4893</v>
      </c>
      <c r="D46" s="63">
        <v>4597</v>
      </c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s="58" customFormat="1" ht="18.75" customHeight="1" x14ac:dyDescent="0.15">
      <c r="A47" s="62" t="s">
        <v>132</v>
      </c>
      <c r="B47" s="61">
        <v>9390</v>
      </c>
      <c r="C47" s="63">
        <v>4850</v>
      </c>
      <c r="D47" s="63">
        <v>4540</v>
      </c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s="54" customFormat="1" ht="18.75" customHeight="1" x14ac:dyDescent="0.15">
      <c r="A48" s="57" t="s">
        <v>131</v>
      </c>
      <c r="B48" s="56">
        <v>41408</v>
      </c>
      <c r="C48" s="56">
        <v>21363</v>
      </c>
      <c r="D48" s="56">
        <v>20045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s="58" customFormat="1" ht="18.75" customHeight="1" x14ac:dyDescent="0.15">
      <c r="A49" s="62" t="s">
        <v>130</v>
      </c>
      <c r="B49" s="61">
        <v>8622</v>
      </c>
      <c r="C49" s="63">
        <v>4505</v>
      </c>
      <c r="D49" s="63">
        <v>4117</v>
      </c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s="58" customFormat="1" ht="18.75" customHeight="1" x14ac:dyDescent="0.15">
      <c r="A50" s="62" t="s">
        <v>129</v>
      </c>
      <c r="B50" s="61">
        <v>8399</v>
      </c>
      <c r="C50" s="63">
        <v>4267</v>
      </c>
      <c r="D50" s="63">
        <v>4132</v>
      </c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s="58" customFormat="1" ht="18.75" customHeight="1" x14ac:dyDescent="0.15">
      <c r="A51" s="62" t="s">
        <v>128</v>
      </c>
      <c r="B51" s="61">
        <v>8456</v>
      </c>
      <c r="C51" s="63">
        <v>4423</v>
      </c>
      <c r="D51" s="63">
        <v>4033</v>
      </c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s="58" customFormat="1" ht="18.75" customHeight="1" x14ac:dyDescent="0.15">
      <c r="A52" s="62" t="s">
        <v>127</v>
      </c>
      <c r="B52" s="61">
        <v>8125</v>
      </c>
      <c r="C52" s="63">
        <v>4130</v>
      </c>
      <c r="D52" s="63">
        <v>3995</v>
      </c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s="58" customFormat="1" ht="18.75" customHeight="1" x14ac:dyDescent="0.15">
      <c r="A53" s="62" t="s">
        <v>126</v>
      </c>
      <c r="B53" s="61">
        <v>7806</v>
      </c>
      <c r="C53" s="63">
        <v>4038</v>
      </c>
      <c r="D53" s="63">
        <v>3768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s="54" customFormat="1" ht="18.75" customHeight="1" x14ac:dyDescent="0.15">
      <c r="A54" s="57" t="s">
        <v>125</v>
      </c>
      <c r="B54" s="56">
        <v>42082</v>
      </c>
      <c r="C54" s="56">
        <v>21663</v>
      </c>
      <c r="D54" s="56">
        <v>20419</v>
      </c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s="58" customFormat="1" ht="18.75" customHeight="1" x14ac:dyDescent="0.15">
      <c r="A55" s="62" t="s">
        <v>124</v>
      </c>
      <c r="B55" s="61">
        <v>7939</v>
      </c>
      <c r="C55" s="63">
        <v>4131</v>
      </c>
      <c r="D55" s="63">
        <v>3808</v>
      </c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s="58" customFormat="1" ht="18.75" customHeight="1" x14ac:dyDescent="0.15">
      <c r="A56" s="62" t="s">
        <v>123</v>
      </c>
      <c r="B56" s="61">
        <v>7689</v>
      </c>
      <c r="C56" s="63">
        <v>3980</v>
      </c>
      <c r="D56" s="63">
        <v>3709</v>
      </c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s="58" customFormat="1" ht="18.75" customHeight="1" x14ac:dyDescent="0.15">
      <c r="A57" s="62" t="s">
        <v>122</v>
      </c>
      <c r="B57" s="61">
        <v>8517</v>
      </c>
      <c r="C57" s="63">
        <v>4357</v>
      </c>
      <c r="D57" s="63">
        <v>4160</v>
      </c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s="58" customFormat="1" ht="18.75" customHeight="1" x14ac:dyDescent="0.15">
      <c r="A58" s="62" t="s">
        <v>121</v>
      </c>
      <c r="B58" s="61">
        <v>8885</v>
      </c>
      <c r="C58" s="63">
        <v>4550</v>
      </c>
      <c r="D58" s="63">
        <v>4335</v>
      </c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s="58" customFormat="1" ht="18.75" customHeight="1" x14ac:dyDescent="0.15">
      <c r="A59" s="62" t="s">
        <v>120</v>
      </c>
      <c r="B59" s="61">
        <v>9052</v>
      </c>
      <c r="C59" s="63">
        <v>4645</v>
      </c>
      <c r="D59" s="63">
        <v>4407</v>
      </c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s="54" customFormat="1" ht="18.75" customHeight="1" x14ac:dyDescent="0.15">
      <c r="A60" s="57" t="s">
        <v>119</v>
      </c>
      <c r="B60" s="56">
        <v>41073</v>
      </c>
      <c r="C60" s="56">
        <v>20202</v>
      </c>
      <c r="D60" s="56">
        <v>20871</v>
      </c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s="58" customFormat="1" ht="18.75" customHeight="1" x14ac:dyDescent="0.15">
      <c r="A61" s="62" t="s">
        <v>118</v>
      </c>
      <c r="B61" s="61">
        <v>8745</v>
      </c>
      <c r="C61" s="63">
        <v>4347</v>
      </c>
      <c r="D61" s="63">
        <v>4398</v>
      </c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s="58" customFormat="1" ht="18.75" customHeight="1" x14ac:dyDescent="0.15">
      <c r="A62" s="62" t="s">
        <v>117</v>
      </c>
      <c r="B62" s="61">
        <v>8584</v>
      </c>
      <c r="C62" s="63">
        <v>4243</v>
      </c>
      <c r="D62" s="63">
        <v>4341</v>
      </c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s="58" customFormat="1" ht="18.75" customHeight="1" x14ac:dyDescent="0.15">
      <c r="A63" s="62" t="s">
        <v>116</v>
      </c>
      <c r="B63" s="61">
        <v>7447</v>
      </c>
      <c r="C63" s="63">
        <v>3699</v>
      </c>
      <c r="D63" s="63">
        <v>3748</v>
      </c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s="58" customFormat="1" ht="18.75" customHeight="1" x14ac:dyDescent="0.15">
      <c r="A64" s="62" t="s">
        <v>115</v>
      </c>
      <c r="B64" s="61">
        <v>8214</v>
      </c>
      <c r="C64" s="63">
        <v>3952</v>
      </c>
      <c r="D64" s="63">
        <v>4262</v>
      </c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s="58" customFormat="1" ht="18.75" customHeight="1" x14ac:dyDescent="0.15">
      <c r="A65" s="62" t="s">
        <v>114</v>
      </c>
      <c r="B65" s="61">
        <v>8083</v>
      </c>
      <c r="C65" s="63">
        <v>3961</v>
      </c>
      <c r="D65" s="63">
        <v>4122</v>
      </c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s="54" customFormat="1" ht="18.75" customHeight="1" x14ac:dyDescent="0.15">
      <c r="A66" s="57" t="s">
        <v>113</v>
      </c>
      <c r="B66" s="56">
        <v>46590</v>
      </c>
      <c r="C66" s="56">
        <v>22713</v>
      </c>
      <c r="D66" s="56">
        <v>23877</v>
      </c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s="58" customFormat="1" ht="18.75" customHeight="1" x14ac:dyDescent="0.15">
      <c r="A67" s="62" t="s">
        <v>112</v>
      </c>
      <c r="B67" s="61">
        <v>8343</v>
      </c>
      <c r="C67" s="63">
        <v>4062</v>
      </c>
      <c r="D67" s="63">
        <v>4281</v>
      </c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s="58" customFormat="1" ht="18.75" customHeight="1" x14ac:dyDescent="0.15">
      <c r="A68" s="62" t="s">
        <v>111</v>
      </c>
      <c r="B68" s="61">
        <v>9097</v>
      </c>
      <c r="C68" s="63">
        <v>4483</v>
      </c>
      <c r="D68" s="63">
        <v>4614</v>
      </c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s="58" customFormat="1" ht="18.75" customHeight="1" x14ac:dyDescent="0.15">
      <c r="A69" s="62" t="s">
        <v>110</v>
      </c>
      <c r="B69" s="61">
        <v>9490</v>
      </c>
      <c r="C69" s="63">
        <v>4531</v>
      </c>
      <c r="D69" s="63">
        <v>4959</v>
      </c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s="58" customFormat="1" ht="18.75" customHeight="1" x14ac:dyDescent="0.15">
      <c r="A70" s="62" t="s">
        <v>109</v>
      </c>
      <c r="B70" s="61">
        <v>9537</v>
      </c>
      <c r="C70" s="63">
        <v>4683</v>
      </c>
      <c r="D70" s="63">
        <v>4854</v>
      </c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s="58" customFormat="1" ht="18.75" customHeight="1" x14ac:dyDescent="0.15">
      <c r="A71" s="62" t="s">
        <v>108</v>
      </c>
      <c r="B71" s="61">
        <v>10123</v>
      </c>
      <c r="C71" s="63">
        <v>4954</v>
      </c>
      <c r="D71" s="63">
        <v>5169</v>
      </c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s="54" customFormat="1" ht="18.75" customHeight="1" x14ac:dyDescent="0.15">
      <c r="A72" s="57" t="s">
        <v>107</v>
      </c>
      <c r="B72" s="56">
        <v>47784</v>
      </c>
      <c r="C72" s="56">
        <v>22932</v>
      </c>
      <c r="D72" s="56">
        <v>24852</v>
      </c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s="58" customFormat="1" ht="18.75" customHeight="1" x14ac:dyDescent="0.15">
      <c r="A73" s="62" t="s">
        <v>106</v>
      </c>
      <c r="B73" s="61">
        <v>9910</v>
      </c>
      <c r="C73" s="63">
        <v>4740</v>
      </c>
      <c r="D73" s="63">
        <v>5170</v>
      </c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s="58" customFormat="1" ht="18.75" customHeight="1" x14ac:dyDescent="0.15">
      <c r="A74" s="62" t="s">
        <v>105</v>
      </c>
      <c r="B74" s="61">
        <v>9972</v>
      </c>
      <c r="C74" s="63">
        <v>4706</v>
      </c>
      <c r="D74" s="63">
        <v>5266</v>
      </c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s="58" customFormat="1" ht="18.75" customHeight="1" x14ac:dyDescent="0.15">
      <c r="A75" s="62" t="s">
        <v>104</v>
      </c>
      <c r="B75" s="61">
        <v>10001</v>
      </c>
      <c r="C75" s="63">
        <v>4854</v>
      </c>
      <c r="D75" s="63">
        <v>5147</v>
      </c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s="58" customFormat="1" ht="18.75" customHeight="1" x14ac:dyDescent="0.15">
      <c r="A76" s="62" t="s">
        <v>103</v>
      </c>
      <c r="B76" s="61">
        <v>9222</v>
      </c>
      <c r="C76" s="63">
        <v>4281</v>
      </c>
      <c r="D76" s="63">
        <v>4941</v>
      </c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s="58" customFormat="1" ht="18.75" customHeight="1" x14ac:dyDescent="0.15">
      <c r="A77" s="62" t="s">
        <v>102</v>
      </c>
      <c r="B77" s="61">
        <v>8679</v>
      </c>
      <c r="C77" s="63">
        <v>4351</v>
      </c>
      <c r="D77" s="63">
        <v>4328</v>
      </c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s="54" customFormat="1" ht="18.75" customHeight="1" x14ac:dyDescent="0.15">
      <c r="A78" s="57" t="s">
        <v>101</v>
      </c>
      <c r="B78" s="56">
        <v>45559</v>
      </c>
      <c r="C78" s="56">
        <v>21839</v>
      </c>
      <c r="D78" s="56">
        <v>23720</v>
      </c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s="58" customFormat="1" ht="18.75" customHeight="1" x14ac:dyDescent="0.15">
      <c r="A79" s="62" t="s">
        <v>100</v>
      </c>
      <c r="B79" s="61">
        <v>9145</v>
      </c>
      <c r="C79" s="63">
        <v>4370</v>
      </c>
      <c r="D79" s="63">
        <v>4775</v>
      </c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s="58" customFormat="1" ht="18.75" customHeight="1" x14ac:dyDescent="0.15">
      <c r="A80" s="62" t="s">
        <v>99</v>
      </c>
      <c r="B80" s="61">
        <v>9095</v>
      </c>
      <c r="C80" s="63">
        <v>4449</v>
      </c>
      <c r="D80" s="63">
        <v>4646</v>
      </c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s="58" customFormat="1" ht="18.75" customHeight="1" x14ac:dyDescent="0.15">
      <c r="A81" s="62" t="s">
        <v>98</v>
      </c>
      <c r="B81" s="61">
        <v>8305</v>
      </c>
      <c r="C81" s="63">
        <v>4017</v>
      </c>
      <c r="D81" s="63">
        <v>4288</v>
      </c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s="58" customFormat="1" ht="18.75" customHeight="1" x14ac:dyDescent="0.15">
      <c r="A82" s="62" t="s">
        <v>97</v>
      </c>
      <c r="B82" s="61">
        <v>9452</v>
      </c>
      <c r="C82" s="63">
        <v>4508</v>
      </c>
      <c r="D82" s="63">
        <v>4944</v>
      </c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s="58" customFormat="1" ht="18.75" customHeight="1" x14ac:dyDescent="0.15">
      <c r="A83" s="62" t="s">
        <v>96</v>
      </c>
      <c r="B83" s="61">
        <v>9562</v>
      </c>
      <c r="C83" s="63">
        <v>4495</v>
      </c>
      <c r="D83" s="63">
        <v>5067</v>
      </c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s="54" customFormat="1" ht="18.75" customHeight="1" x14ac:dyDescent="0.15">
      <c r="A84" s="57" t="s">
        <v>95</v>
      </c>
      <c r="B84" s="56">
        <v>41191</v>
      </c>
      <c r="C84" s="56">
        <v>19770</v>
      </c>
      <c r="D84" s="56">
        <v>21421</v>
      </c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s="58" customFormat="1" ht="18.75" customHeight="1" x14ac:dyDescent="0.15">
      <c r="A85" s="62" t="s">
        <v>94</v>
      </c>
      <c r="B85" s="61">
        <v>9953</v>
      </c>
      <c r="C85" s="63">
        <v>4725</v>
      </c>
      <c r="D85" s="63">
        <v>5228</v>
      </c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s="58" customFormat="1" ht="18.75" customHeight="1" x14ac:dyDescent="0.15">
      <c r="A86" s="62" t="s">
        <v>93</v>
      </c>
      <c r="B86" s="61">
        <v>8821</v>
      </c>
      <c r="C86" s="63">
        <v>4225</v>
      </c>
      <c r="D86" s="63">
        <v>4596</v>
      </c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s="58" customFormat="1" ht="18.75" customHeight="1" x14ac:dyDescent="0.15">
      <c r="A87" s="62" t="s">
        <v>92</v>
      </c>
      <c r="B87" s="61">
        <v>8093</v>
      </c>
      <c r="C87" s="63">
        <v>3967</v>
      </c>
      <c r="D87" s="63">
        <v>4126</v>
      </c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s="58" customFormat="1" ht="18.75" customHeight="1" x14ac:dyDescent="0.15">
      <c r="A88" s="62" t="s">
        <v>91</v>
      </c>
      <c r="B88" s="61">
        <v>7654</v>
      </c>
      <c r="C88" s="63">
        <v>3644</v>
      </c>
      <c r="D88" s="63">
        <v>4010</v>
      </c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s="58" customFormat="1" ht="18.75" customHeight="1" x14ac:dyDescent="0.15">
      <c r="A89" s="62" t="s">
        <v>90</v>
      </c>
      <c r="B89" s="61">
        <v>6670</v>
      </c>
      <c r="C89" s="63">
        <v>3209</v>
      </c>
      <c r="D89" s="63">
        <v>3461</v>
      </c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s="54" customFormat="1" ht="18.75" customHeight="1" x14ac:dyDescent="0.15">
      <c r="A90" s="57" t="s">
        <v>89</v>
      </c>
      <c r="B90" s="56">
        <v>25860</v>
      </c>
      <c r="C90" s="56">
        <v>12516</v>
      </c>
      <c r="D90" s="56">
        <v>13344</v>
      </c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s="58" customFormat="1" ht="18.75" customHeight="1" x14ac:dyDescent="0.15">
      <c r="A91" s="62" t="s">
        <v>88</v>
      </c>
      <c r="B91" s="61">
        <v>6847</v>
      </c>
      <c r="C91" s="63">
        <v>3260</v>
      </c>
      <c r="D91" s="63">
        <v>3587</v>
      </c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s="58" customFormat="1" ht="18.75" customHeight="1" x14ac:dyDescent="0.15">
      <c r="A92" s="62" t="s">
        <v>87</v>
      </c>
      <c r="B92" s="61">
        <v>5757</v>
      </c>
      <c r="C92" s="63">
        <v>2859</v>
      </c>
      <c r="D92" s="63">
        <v>2898</v>
      </c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s="58" customFormat="1" ht="18.75" customHeight="1" x14ac:dyDescent="0.15">
      <c r="A93" s="62" t="s">
        <v>86</v>
      </c>
      <c r="B93" s="61">
        <v>4792</v>
      </c>
      <c r="C93" s="63">
        <v>2369</v>
      </c>
      <c r="D93" s="63">
        <v>2423</v>
      </c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s="58" customFormat="1" ht="18.75" customHeight="1" x14ac:dyDescent="0.15">
      <c r="A94" s="62" t="s">
        <v>85</v>
      </c>
      <c r="B94" s="61">
        <v>5092</v>
      </c>
      <c r="C94" s="63">
        <v>2465</v>
      </c>
      <c r="D94" s="63">
        <v>2627</v>
      </c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s="58" customFormat="1" ht="18.75" customHeight="1" x14ac:dyDescent="0.15">
      <c r="A95" s="62" t="s">
        <v>84</v>
      </c>
      <c r="B95" s="61">
        <v>3372</v>
      </c>
      <c r="C95" s="63">
        <v>1563</v>
      </c>
      <c r="D95" s="63">
        <v>1809</v>
      </c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s="54" customFormat="1" ht="18.75" customHeight="1" x14ac:dyDescent="0.15">
      <c r="A96" s="57" t="s">
        <v>83</v>
      </c>
      <c r="B96" s="56">
        <v>16880</v>
      </c>
      <c r="C96" s="56">
        <v>7775</v>
      </c>
      <c r="D96" s="56">
        <v>9105</v>
      </c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s="58" customFormat="1" ht="18.75" customHeight="1" x14ac:dyDescent="0.15">
      <c r="A97" s="62" t="s">
        <v>82</v>
      </c>
      <c r="B97" s="61">
        <v>3751</v>
      </c>
      <c r="C97" s="63">
        <v>1807</v>
      </c>
      <c r="D97" s="63">
        <v>1944</v>
      </c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s="58" customFormat="1" ht="18.75" customHeight="1" x14ac:dyDescent="0.15">
      <c r="A98" s="62" t="s">
        <v>81</v>
      </c>
      <c r="B98" s="61">
        <v>3507</v>
      </c>
      <c r="C98" s="63">
        <v>1649</v>
      </c>
      <c r="D98" s="63">
        <v>1858</v>
      </c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s="58" customFormat="1" ht="18.75" customHeight="1" x14ac:dyDescent="0.15">
      <c r="A99" s="62" t="s">
        <v>80</v>
      </c>
      <c r="B99" s="61">
        <v>3425</v>
      </c>
      <c r="C99" s="63">
        <v>1569</v>
      </c>
      <c r="D99" s="63">
        <v>1856</v>
      </c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s="58" customFormat="1" ht="18.75" customHeight="1" x14ac:dyDescent="0.15">
      <c r="A100" s="62" t="s">
        <v>79</v>
      </c>
      <c r="B100" s="61">
        <v>3464</v>
      </c>
      <c r="C100" s="63">
        <v>1535</v>
      </c>
      <c r="D100" s="63">
        <v>1929</v>
      </c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s="58" customFormat="1" ht="18.75" customHeight="1" x14ac:dyDescent="0.15">
      <c r="A101" s="62" t="s">
        <v>78</v>
      </c>
      <c r="B101" s="61">
        <v>2733</v>
      </c>
      <c r="C101" s="60">
        <v>1215</v>
      </c>
      <c r="D101" s="63">
        <v>1518</v>
      </c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s="54" customFormat="1" ht="18.75" customHeight="1" x14ac:dyDescent="0.15">
      <c r="A102" s="57" t="s">
        <v>77</v>
      </c>
      <c r="B102" s="56">
        <v>11199</v>
      </c>
      <c r="C102" s="56">
        <v>4492</v>
      </c>
      <c r="D102" s="56">
        <v>6707</v>
      </c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s="58" customFormat="1" ht="18.75" customHeight="1" x14ac:dyDescent="0.15">
      <c r="A103" s="62" t="s">
        <v>76</v>
      </c>
      <c r="B103" s="61">
        <v>2286</v>
      </c>
      <c r="C103" s="60">
        <v>961</v>
      </c>
      <c r="D103" s="63">
        <v>1325</v>
      </c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s="58" customFormat="1" ht="18.75" customHeight="1" x14ac:dyDescent="0.15">
      <c r="A104" s="62" t="s">
        <v>75</v>
      </c>
      <c r="B104" s="61">
        <v>2293</v>
      </c>
      <c r="C104" s="60">
        <v>924</v>
      </c>
      <c r="D104" s="63">
        <v>1369</v>
      </c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s="58" customFormat="1" ht="18.75" customHeight="1" x14ac:dyDescent="0.15">
      <c r="A105" s="62" t="s">
        <v>74</v>
      </c>
      <c r="B105" s="61">
        <v>2156</v>
      </c>
      <c r="C105" s="63">
        <v>900</v>
      </c>
      <c r="D105" s="63">
        <v>1256</v>
      </c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s="58" customFormat="1" ht="18.75" customHeight="1" x14ac:dyDescent="0.15">
      <c r="A106" s="62" t="s">
        <v>73</v>
      </c>
      <c r="B106" s="61">
        <v>2502</v>
      </c>
      <c r="C106" s="60">
        <v>979</v>
      </c>
      <c r="D106" s="63">
        <v>1523</v>
      </c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s="58" customFormat="1" ht="18.75" customHeight="1" x14ac:dyDescent="0.15">
      <c r="A107" s="62" t="s">
        <v>72</v>
      </c>
      <c r="B107" s="61">
        <v>1962</v>
      </c>
      <c r="C107" s="60">
        <v>728</v>
      </c>
      <c r="D107" s="63">
        <v>1234</v>
      </c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s="54" customFormat="1" ht="18.75" customHeight="1" x14ac:dyDescent="0.15">
      <c r="A108" s="57" t="s">
        <v>71</v>
      </c>
      <c r="B108" s="56">
        <v>6591</v>
      </c>
      <c r="C108" s="56">
        <v>2166</v>
      </c>
      <c r="D108" s="56">
        <v>4425</v>
      </c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s="58" customFormat="1" ht="18.75" customHeight="1" x14ac:dyDescent="0.15">
      <c r="A109" s="62" t="s">
        <v>70</v>
      </c>
      <c r="B109" s="61">
        <v>1608</v>
      </c>
      <c r="C109" s="60">
        <v>579</v>
      </c>
      <c r="D109" s="63">
        <v>1029</v>
      </c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s="58" customFormat="1" ht="18.75" customHeight="1" x14ac:dyDescent="0.15">
      <c r="A110" s="62" t="s">
        <v>69</v>
      </c>
      <c r="B110" s="61">
        <v>1546</v>
      </c>
      <c r="C110" s="60">
        <v>570</v>
      </c>
      <c r="D110" s="60">
        <v>976</v>
      </c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s="58" customFormat="1" ht="18.75" customHeight="1" x14ac:dyDescent="0.15">
      <c r="A111" s="62" t="s">
        <v>68</v>
      </c>
      <c r="B111" s="61">
        <v>1324</v>
      </c>
      <c r="C111" s="60">
        <v>430</v>
      </c>
      <c r="D111" s="60">
        <v>894</v>
      </c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s="58" customFormat="1" ht="18.75" customHeight="1" x14ac:dyDescent="0.15">
      <c r="A112" s="62" t="s">
        <v>67</v>
      </c>
      <c r="B112" s="61">
        <v>1176</v>
      </c>
      <c r="C112" s="60">
        <v>335</v>
      </c>
      <c r="D112" s="60">
        <v>841</v>
      </c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s="58" customFormat="1" ht="18.75" customHeight="1" x14ac:dyDescent="0.15">
      <c r="A113" s="62" t="s">
        <v>66</v>
      </c>
      <c r="B113" s="61">
        <v>937</v>
      </c>
      <c r="C113" s="60">
        <v>252</v>
      </c>
      <c r="D113" s="60">
        <v>685</v>
      </c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s="54" customFormat="1" ht="18.75" customHeight="1" x14ac:dyDescent="0.15">
      <c r="A114" s="57" t="s">
        <v>65</v>
      </c>
      <c r="B114" s="56">
        <v>2658</v>
      </c>
      <c r="C114" s="56">
        <v>658</v>
      </c>
      <c r="D114" s="56">
        <v>2000</v>
      </c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s="58" customFormat="1" ht="18.75" customHeight="1" x14ac:dyDescent="0.15">
      <c r="A115" s="62" t="s">
        <v>64</v>
      </c>
      <c r="B115" s="61">
        <v>846</v>
      </c>
      <c r="C115" s="60">
        <v>225</v>
      </c>
      <c r="D115" s="60">
        <v>621</v>
      </c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s="58" customFormat="1" ht="18.75" customHeight="1" x14ac:dyDescent="0.15">
      <c r="A116" s="62" t="s">
        <v>63</v>
      </c>
      <c r="B116" s="61">
        <v>634</v>
      </c>
      <c r="C116" s="60">
        <v>171</v>
      </c>
      <c r="D116" s="60">
        <v>463</v>
      </c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s="58" customFormat="1" ht="18.75" customHeight="1" x14ac:dyDescent="0.15">
      <c r="A117" s="62" t="s">
        <v>62</v>
      </c>
      <c r="B117" s="61">
        <v>498</v>
      </c>
      <c r="C117" s="60">
        <v>111</v>
      </c>
      <c r="D117" s="60">
        <v>387</v>
      </c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s="58" customFormat="1" ht="18.75" customHeight="1" x14ac:dyDescent="0.15">
      <c r="A118" s="62" t="s">
        <v>61</v>
      </c>
      <c r="B118" s="61">
        <v>405</v>
      </c>
      <c r="C118" s="60">
        <v>89</v>
      </c>
      <c r="D118" s="60">
        <v>316</v>
      </c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s="58" customFormat="1" ht="18.75" customHeight="1" x14ac:dyDescent="0.15">
      <c r="A119" s="62" t="s">
        <v>60</v>
      </c>
      <c r="B119" s="61">
        <v>275</v>
      </c>
      <c r="C119" s="60">
        <v>62</v>
      </c>
      <c r="D119" s="60">
        <v>213</v>
      </c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s="54" customFormat="1" ht="18.75" customHeight="1" x14ac:dyDescent="0.15">
      <c r="A120" s="57" t="s">
        <v>59</v>
      </c>
      <c r="B120" s="56">
        <v>600</v>
      </c>
      <c r="C120" s="56">
        <v>116</v>
      </c>
      <c r="D120" s="56">
        <v>484</v>
      </c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s="58" customFormat="1" ht="18.75" customHeight="1" x14ac:dyDescent="0.15">
      <c r="A121" s="62" t="s">
        <v>58</v>
      </c>
      <c r="B121" s="61">
        <v>214</v>
      </c>
      <c r="C121" s="60">
        <v>49</v>
      </c>
      <c r="D121" s="60">
        <v>165</v>
      </c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s="58" customFormat="1" ht="18.75" customHeight="1" x14ac:dyDescent="0.15">
      <c r="A122" s="62" t="s">
        <v>57</v>
      </c>
      <c r="B122" s="61">
        <v>160</v>
      </c>
      <c r="C122" s="60">
        <v>32</v>
      </c>
      <c r="D122" s="60">
        <v>128</v>
      </c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s="58" customFormat="1" ht="18.75" customHeight="1" x14ac:dyDescent="0.15">
      <c r="A123" s="62" t="s">
        <v>56</v>
      </c>
      <c r="B123" s="61">
        <v>108</v>
      </c>
      <c r="C123" s="60">
        <v>15</v>
      </c>
      <c r="D123" s="60">
        <v>93</v>
      </c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s="58" customFormat="1" ht="18.75" customHeight="1" x14ac:dyDescent="0.15">
      <c r="A124" s="62" t="s">
        <v>55</v>
      </c>
      <c r="B124" s="61">
        <v>84</v>
      </c>
      <c r="C124" s="60">
        <v>10</v>
      </c>
      <c r="D124" s="60">
        <v>74</v>
      </c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s="58" customFormat="1" ht="18.75" customHeight="1" x14ac:dyDescent="0.15">
      <c r="A125" s="62" t="s">
        <v>54</v>
      </c>
      <c r="B125" s="61">
        <v>34</v>
      </c>
      <c r="C125" s="60">
        <v>10</v>
      </c>
      <c r="D125" s="60">
        <v>24</v>
      </c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s="54" customFormat="1" ht="18.75" customHeight="1" x14ac:dyDescent="0.15">
      <c r="A126" s="57" t="s">
        <v>53</v>
      </c>
      <c r="B126" s="56">
        <v>71</v>
      </c>
      <c r="C126" s="56">
        <v>8</v>
      </c>
      <c r="D126" s="56">
        <v>63</v>
      </c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</sheetData>
  <mergeCells count="3">
    <mergeCell ref="A1:D1"/>
    <mergeCell ref="A3:A4"/>
    <mergeCell ref="B3:D3"/>
  </mergeCells>
  <phoneticPr fontId="5" type="noConversion"/>
  <conditionalFormatting sqref="B5:D126">
    <cfRule type="expression" dxfId="4" priority="1">
      <formula>B5&lt;&gt;#REF!</formula>
    </cfRule>
  </conditionalFormatting>
  <pageMargins left="0.98425196850393704" right="0.59055118110236227" top="1.5748031496062993" bottom="0.98425196850393704" header="0.19685039370078741" footer="0.19685039370078741"/>
  <pageSetup paperSize="9" orientation="portrait" blackAndWhite="1" horizontalDpi="300" verticalDpi="300" r:id="rId1"/>
  <headerFooter alignWithMargins="0">
    <oddFooter xml:space="preserve">&amp;R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6"/>
  <sheetViews>
    <sheetView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2" sqref="E2"/>
    </sheetView>
  </sheetViews>
  <sheetFormatPr defaultColWidth="11.28515625" defaultRowHeight="15.75" customHeight="1" x14ac:dyDescent="0.15"/>
  <cols>
    <col min="1" max="1" width="11.28515625" style="77"/>
    <col min="2" max="16384" width="11.28515625" style="2"/>
  </cols>
  <sheetData>
    <row r="1" spans="1:103" s="3" customFormat="1" ht="40.5" customHeight="1" x14ac:dyDescent="0.15">
      <c r="A1" s="16"/>
      <c r="B1" s="148" t="s">
        <v>210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</row>
    <row r="2" spans="1:103" s="93" customFormat="1" ht="22.5" customHeight="1" x14ac:dyDescent="0.15">
      <c r="A2" s="93" t="s">
        <v>209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6" t="s">
        <v>208</v>
      </c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94"/>
      <c r="CE2" s="94"/>
      <c r="CF2" s="94"/>
      <c r="CG2" s="94"/>
      <c r="CH2" s="94"/>
      <c r="CI2" s="94"/>
      <c r="CJ2" s="94"/>
      <c r="CK2" s="94"/>
      <c r="CL2" s="94"/>
      <c r="CM2" s="94"/>
      <c r="CN2" s="94"/>
      <c r="CO2" s="94"/>
      <c r="CP2" s="94"/>
      <c r="CQ2" s="94"/>
      <c r="CR2" s="94"/>
      <c r="CS2" s="94"/>
      <c r="CT2" s="94"/>
      <c r="CU2" s="94"/>
      <c r="CV2" s="94"/>
      <c r="CW2" s="95"/>
      <c r="CX2" s="95"/>
      <c r="CY2" s="94"/>
    </row>
    <row r="3" spans="1:103" s="77" customFormat="1" ht="18.75" customHeight="1" x14ac:dyDescent="0.15">
      <c r="A3" s="179" t="s">
        <v>207</v>
      </c>
      <c r="B3" s="176" t="s">
        <v>3</v>
      </c>
      <c r="C3" s="177"/>
      <c r="D3" s="178"/>
      <c r="E3" s="176" t="s">
        <v>206</v>
      </c>
      <c r="F3" s="177"/>
      <c r="G3" s="178"/>
      <c r="H3" s="176" t="s">
        <v>46</v>
      </c>
      <c r="I3" s="177"/>
      <c r="J3" s="178"/>
      <c r="K3" s="176" t="s">
        <v>45</v>
      </c>
      <c r="L3" s="177"/>
      <c r="M3" s="178"/>
      <c r="N3" s="176" t="s">
        <v>44</v>
      </c>
      <c r="O3" s="177"/>
      <c r="P3" s="178"/>
      <c r="Q3" s="176" t="s">
        <v>43</v>
      </c>
      <c r="R3" s="177"/>
      <c r="S3" s="178"/>
      <c r="T3" s="176" t="s">
        <v>42</v>
      </c>
      <c r="U3" s="177"/>
      <c r="V3" s="178"/>
      <c r="W3" s="176" t="s">
        <v>41</v>
      </c>
      <c r="X3" s="177"/>
      <c r="Y3" s="178"/>
      <c r="Z3" s="176" t="s">
        <v>40</v>
      </c>
      <c r="AA3" s="177"/>
      <c r="AB3" s="178"/>
      <c r="AC3" s="176" t="s">
        <v>39</v>
      </c>
      <c r="AD3" s="177"/>
      <c r="AE3" s="178"/>
      <c r="AF3" s="176" t="s">
        <v>38</v>
      </c>
      <c r="AG3" s="177"/>
      <c r="AH3" s="178"/>
      <c r="AI3" s="176" t="s">
        <v>37</v>
      </c>
      <c r="AJ3" s="177"/>
      <c r="AK3" s="178"/>
      <c r="AL3" s="176" t="s">
        <v>36</v>
      </c>
      <c r="AM3" s="177"/>
      <c r="AN3" s="178"/>
      <c r="AO3" s="176" t="s">
        <v>205</v>
      </c>
      <c r="AP3" s="177"/>
      <c r="AQ3" s="178"/>
      <c r="AR3" s="176" t="s">
        <v>204</v>
      </c>
      <c r="AS3" s="177"/>
      <c r="AT3" s="178"/>
      <c r="AU3" s="176" t="s">
        <v>203</v>
      </c>
      <c r="AV3" s="177"/>
      <c r="AW3" s="178"/>
      <c r="AX3" s="176" t="s">
        <v>202</v>
      </c>
      <c r="AY3" s="177"/>
      <c r="AZ3" s="178"/>
      <c r="BA3" s="176" t="s">
        <v>31</v>
      </c>
      <c r="BB3" s="177"/>
      <c r="BC3" s="178"/>
      <c r="BD3" s="176" t="s">
        <v>30</v>
      </c>
      <c r="BE3" s="177"/>
      <c r="BF3" s="178"/>
      <c r="BG3" s="176" t="s">
        <v>29</v>
      </c>
      <c r="BH3" s="177"/>
      <c r="BI3" s="178"/>
      <c r="BJ3" s="176" t="s">
        <v>28</v>
      </c>
      <c r="BK3" s="177"/>
      <c r="BL3" s="178"/>
      <c r="BM3" s="176" t="s">
        <v>27</v>
      </c>
      <c r="BN3" s="177"/>
      <c r="BO3" s="178"/>
      <c r="BP3" s="176" t="s">
        <v>201</v>
      </c>
      <c r="BQ3" s="177"/>
      <c r="BR3" s="178"/>
      <c r="BS3" s="176" t="s">
        <v>200</v>
      </c>
      <c r="BT3" s="177"/>
      <c r="BU3" s="178"/>
      <c r="BV3" s="176" t="s">
        <v>24</v>
      </c>
      <c r="BW3" s="177"/>
      <c r="BX3" s="178"/>
      <c r="BY3" s="176" t="s">
        <v>23</v>
      </c>
      <c r="BZ3" s="177"/>
      <c r="CA3" s="178"/>
      <c r="CB3" s="176" t="s">
        <v>22</v>
      </c>
      <c r="CC3" s="177"/>
      <c r="CD3" s="178"/>
      <c r="CE3" s="176" t="s">
        <v>21</v>
      </c>
      <c r="CF3" s="177"/>
      <c r="CG3" s="178"/>
      <c r="CH3" s="176" t="s">
        <v>20</v>
      </c>
      <c r="CI3" s="177"/>
      <c r="CJ3" s="178"/>
      <c r="CK3" s="176" t="s">
        <v>19</v>
      </c>
      <c r="CL3" s="177"/>
      <c r="CM3" s="178"/>
      <c r="CN3" s="176" t="s">
        <v>18</v>
      </c>
      <c r="CO3" s="177"/>
      <c r="CP3" s="178"/>
      <c r="CQ3" s="176" t="s">
        <v>17</v>
      </c>
      <c r="CR3" s="177"/>
      <c r="CS3" s="178"/>
      <c r="CT3" s="176" t="s">
        <v>16</v>
      </c>
      <c r="CU3" s="177"/>
      <c r="CV3" s="178"/>
      <c r="CW3" s="176" t="s">
        <v>15</v>
      </c>
      <c r="CX3" s="177"/>
      <c r="CY3" s="178"/>
    </row>
    <row r="4" spans="1:103" s="77" customFormat="1" ht="18.75" customHeight="1" x14ac:dyDescent="0.15">
      <c r="A4" s="180"/>
      <c r="B4" s="91" t="s">
        <v>0</v>
      </c>
      <c r="C4" s="91" t="s">
        <v>1</v>
      </c>
      <c r="D4" s="91" t="s">
        <v>2</v>
      </c>
      <c r="E4" s="91" t="s">
        <v>0</v>
      </c>
      <c r="F4" s="91" t="s">
        <v>1</v>
      </c>
      <c r="G4" s="91" t="s">
        <v>2</v>
      </c>
      <c r="H4" s="91" t="s">
        <v>0</v>
      </c>
      <c r="I4" s="91" t="s">
        <v>1</v>
      </c>
      <c r="J4" s="91" t="s">
        <v>2</v>
      </c>
      <c r="K4" s="92" t="s">
        <v>0</v>
      </c>
      <c r="L4" s="91" t="s">
        <v>1</v>
      </c>
      <c r="M4" s="91" t="s">
        <v>2</v>
      </c>
      <c r="N4" s="91" t="s">
        <v>0</v>
      </c>
      <c r="O4" s="91" t="s">
        <v>1</v>
      </c>
      <c r="P4" s="91" t="s">
        <v>2</v>
      </c>
      <c r="Q4" s="91" t="s">
        <v>0</v>
      </c>
      <c r="R4" s="91" t="s">
        <v>1</v>
      </c>
      <c r="S4" s="90" t="s">
        <v>2</v>
      </c>
      <c r="T4" s="91" t="s">
        <v>0</v>
      </c>
      <c r="U4" s="91" t="s">
        <v>1</v>
      </c>
      <c r="V4" s="90" t="s">
        <v>2</v>
      </c>
      <c r="W4" s="91" t="s">
        <v>0</v>
      </c>
      <c r="X4" s="91" t="s">
        <v>1</v>
      </c>
      <c r="Y4" s="90" t="s">
        <v>2</v>
      </c>
      <c r="Z4" s="91" t="s">
        <v>0</v>
      </c>
      <c r="AA4" s="91" t="s">
        <v>1</v>
      </c>
      <c r="AB4" s="90" t="s">
        <v>2</v>
      </c>
      <c r="AC4" s="91" t="s">
        <v>0</v>
      </c>
      <c r="AD4" s="91" t="s">
        <v>1</v>
      </c>
      <c r="AE4" s="90" t="s">
        <v>2</v>
      </c>
      <c r="AF4" s="91" t="s">
        <v>0</v>
      </c>
      <c r="AG4" s="91" t="s">
        <v>1</v>
      </c>
      <c r="AH4" s="90" t="s">
        <v>2</v>
      </c>
      <c r="AI4" s="91" t="s">
        <v>0</v>
      </c>
      <c r="AJ4" s="91" t="s">
        <v>1</v>
      </c>
      <c r="AK4" s="90" t="s">
        <v>2</v>
      </c>
      <c r="AL4" s="91" t="s">
        <v>0</v>
      </c>
      <c r="AM4" s="91" t="s">
        <v>1</v>
      </c>
      <c r="AN4" s="90" t="s">
        <v>2</v>
      </c>
      <c r="AO4" s="91" t="s">
        <v>0</v>
      </c>
      <c r="AP4" s="91" t="s">
        <v>1</v>
      </c>
      <c r="AQ4" s="90" t="s">
        <v>2</v>
      </c>
      <c r="AR4" s="91" t="s">
        <v>0</v>
      </c>
      <c r="AS4" s="91" t="s">
        <v>1</v>
      </c>
      <c r="AT4" s="90" t="s">
        <v>2</v>
      </c>
      <c r="AU4" s="91" t="s">
        <v>0</v>
      </c>
      <c r="AV4" s="91" t="s">
        <v>1</v>
      </c>
      <c r="AW4" s="90" t="s">
        <v>2</v>
      </c>
      <c r="AX4" s="91" t="s">
        <v>0</v>
      </c>
      <c r="AY4" s="91" t="s">
        <v>1</v>
      </c>
      <c r="AZ4" s="91" t="s">
        <v>2</v>
      </c>
      <c r="BA4" s="92" t="s">
        <v>0</v>
      </c>
      <c r="BB4" s="91" t="s">
        <v>1</v>
      </c>
      <c r="BC4" s="91" t="s">
        <v>2</v>
      </c>
      <c r="BD4" s="91" t="s">
        <v>0</v>
      </c>
      <c r="BE4" s="91" t="s">
        <v>1</v>
      </c>
      <c r="BF4" s="91" t="s">
        <v>2</v>
      </c>
      <c r="BG4" s="91" t="s">
        <v>0</v>
      </c>
      <c r="BH4" s="91" t="s">
        <v>1</v>
      </c>
      <c r="BI4" s="91" t="s">
        <v>2</v>
      </c>
      <c r="BJ4" s="92" t="s">
        <v>0</v>
      </c>
      <c r="BK4" s="91" t="s">
        <v>1</v>
      </c>
      <c r="BL4" s="91" t="s">
        <v>2</v>
      </c>
      <c r="BM4" s="91" t="s">
        <v>0</v>
      </c>
      <c r="BN4" s="91" t="s">
        <v>1</v>
      </c>
      <c r="BO4" s="91" t="s">
        <v>2</v>
      </c>
      <c r="BP4" s="91" t="s">
        <v>0</v>
      </c>
      <c r="BQ4" s="91" t="s">
        <v>1</v>
      </c>
      <c r="BR4" s="91" t="s">
        <v>2</v>
      </c>
      <c r="BS4" s="92" t="s">
        <v>0</v>
      </c>
      <c r="BT4" s="91" t="s">
        <v>1</v>
      </c>
      <c r="BU4" s="91" t="s">
        <v>2</v>
      </c>
      <c r="BV4" s="91" t="s">
        <v>0</v>
      </c>
      <c r="BW4" s="91" t="s">
        <v>1</v>
      </c>
      <c r="BX4" s="91" t="s">
        <v>2</v>
      </c>
      <c r="BY4" s="91" t="s">
        <v>0</v>
      </c>
      <c r="BZ4" s="91" t="s">
        <v>1</v>
      </c>
      <c r="CA4" s="91" t="s">
        <v>2</v>
      </c>
      <c r="CB4" s="92" t="s">
        <v>0</v>
      </c>
      <c r="CC4" s="91" t="s">
        <v>1</v>
      </c>
      <c r="CD4" s="91" t="s">
        <v>2</v>
      </c>
      <c r="CE4" s="91" t="s">
        <v>0</v>
      </c>
      <c r="CF4" s="91" t="s">
        <v>1</v>
      </c>
      <c r="CG4" s="91" t="s">
        <v>2</v>
      </c>
      <c r="CH4" s="91" t="s">
        <v>0</v>
      </c>
      <c r="CI4" s="91" t="s">
        <v>1</v>
      </c>
      <c r="CJ4" s="90" t="s">
        <v>2</v>
      </c>
      <c r="CK4" s="91" t="s">
        <v>0</v>
      </c>
      <c r="CL4" s="91" t="s">
        <v>1</v>
      </c>
      <c r="CM4" s="90" t="s">
        <v>2</v>
      </c>
      <c r="CN4" s="91" t="s">
        <v>0</v>
      </c>
      <c r="CO4" s="91" t="s">
        <v>1</v>
      </c>
      <c r="CP4" s="90" t="s">
        <v>2</v>
      </c>
      <c r="CQ4" s="91" t="s">
        <v>0</v>
      </c>
      <c r="CR4" s="91" t="s">
        <v>1</v>
      </c>
      <c r="CS4" s="91" t="s">
        <v>2</v>
      </c>
      <c r="CT4" s="91" t="s">
        <v>0</v>
      </c>
      <c r="CU4" s="91" t="s">
        <v>1</v>
      </c>
      <c r="CV4" s="90" t="s">
        <v>2</v>
      </c>
      <c r="CW4" s="91" t="s">
        <v>0</v>
      </c>
      <c r="CX4" s="91" t="s">
        <v>1</v>
      </c>
      <c r="CY4" s="90" t="s">
        <v>2</v>
      </c>
    </row>
    <row r="5" spans="1:103" ht="26.25" customHeight="1" x14ac:dyDescent="0.15">
      <c r="A5" s="89" t="s">
        <v>0</v>
      </c>
      <c r="B5" s="88">
        <v>563279</v>
      </c>
      <c r="C5" s="88">
        <v>277696</v>
      </c>
      <c r="D5" s="88">
        <v>285583</v>
      </c>
      <c r="E5" s="88">
        <v>233749</v>
      </c>
      <c r="F5" s="88">
        <v>116392</v>
      </c>
      <c r="G5" s="88">
        <v>117357</v>
      </c>
      <c r="H5" s="88">
        <v>18504</v>
      </c>
      <c r="I5" s="88">
        <v>9221</v>
      </c>
      <c r="J5" s="88">
        <v>9283</v>
      </c>
      <c r="K5" s="88">
        <v>22147</v>
      </c>
      <c r="L5" s="88">
        <v>11099</v>
      </c>
      <c r="M5" s="88">
        <v>11048</v>
      </c>
      <c r="N5" s="88">
        <v>14790</v>
      </c>
      <c r="O5" s="88">
        <v>7280</v>
      </c>
      <c r="P5" s="88">
        <v>7510</v>
      </c>
      <c r="Q5" s="88">
        <v>6457</v>
      </c>
      <c r="R5" s="88">
        <v>3222</v>
      </c>
      <c r="S5" s="88">
        <v>3235</v>
      </c>
      <c r="T5" s="88">
        <v>14547</v>
      </c>
      <c r="U5" s="88">
        <v>7207</v>
      </c>
      <c r="V5" s="88">
        <v>7340</v>
      </c>
      <c r="W5" s="88">
        <v>26928</v>
      </c>
      <c r="X5" s="88">
        <v>13550</v>
      </c>
      <c r="Y5" s="88">
        <v>13378</v>
      </c>
      <c r="Z5" s="88">
        <v>14608</v>
      </c>
      <c r="AA5" s="88">
        <v>7178</v>
      </c>
      <c r="AB5" s="88">
        <v>7430</v>
      </c>
      <c r="AC5" s="88">
        <v>7827</v>
      </c>
      <c r="AD5" s="88">
        <v>4038</v>
      </c>
      <c r="AE5" s="88">
        <v>3789</v>
      </c>
      <c r="AF5" s="88">
        <v>15597</v>
      </c>
      <c r="AG5" s="88">
        <v>7675</v>
      </c>
      <c r="AH5" s="88">
        <v>7922</v>
      </c>
      <c r="AI5" s="88">
        <v>18291</v>
      </c>
      <c r="AJ5" s="88">
        <v>8895</v>
      </c>
      <c r="AK5" s="88">
        <v>9396</v>
      </c>
      <c r="AL5" s="88">
        <v>28786</v>
      </c>
      <c r="AM5" s="88">
        <v>14357</v>
      </c>
      <c r="AN5" s="88">
        <v>14429</v>
      </c>
      <c r="AO5" s="88">
        <v>11717</v>
      </c>
      <c r="AP5" s="88">
        <v>5964</v>
      </c>
      <c r="AQ5" s="88">
        <v>5753</v>
      </c>
      <c r="AR5" s="88">
        <v>13420</v>
      </c>
      <c r="AS5" s="88">
        <v>6715</v>
      </c>
      <c r="AT5" s="88">
        <v>6705</v>
      </c>
      <c r="AU5" s="88">
        <v>20130</v>
      </c>
      <c r="AV5" s="88">
        <v>9991</v>
      </c>
      <c r="AW5" s="88">
        <v>10139</v>
      </c>
      <c r="AX5" s="88">
        <v>329530</v>
      </c>
      <c r="AY5" s="88">
        <v>161304</v>
      </c>
      <c r="AZ5" s="88">
        <v>168226</v>
      </c>
      <c r="BA5" s="88">
        <v>28231</v>
      </c>
      <c r="BB5" s="88">
        <v>13687</v>
      </c>
      <c r="BC5" s="88">
        <v>14544</v>
      </c>
      <c r="BD5" s="88">
        <v>13192</v>
      </c>
      <c r="BE5" s="88">
        <v>6478</v>
      </c>
      <c r="BF5" s="88">
        <v>6714</v>
      </c>
      <c r="BG5" s="88">
        <v>17899</v>
      </c>
      <c r="BH5" s="88">
        <v>8850</v>
      </c>
      <c r="BI5" s="88">
        <v>9049</v>
      </c>
      <c r="BJ5" s="88">
        <v>15946</v>
      </c>
      <c r="BK5" s="88">
        <v>7621</v>
      </c>
      <c r="BL5" s="88">
        <v>8325</v>
      </c>
      <c r="BM5" s="88">
        <v>9386</v>
      </c>
      <c r="BN5" s="88">
        <v>4187</v>
      </c>
      <c r="BO5" s="88">
        <v>5199</v>
      </c>
      <c r="BP5" s="88">
        <v>32076</v>
      </c>
      <c r="BQ5" s="88">
        <v>15704</v>
      </c>
      <c r="BR5" s="88">
        <v>16372</v>
      </c>
      <c r="BS5" s="88">
        <v>17870</v>
      </c>
      <c r="BT5" s="88">
        <v>9157</v>
      </c>
      <c r="BU5" s="88">
        <v>8713</v>
      </c>
      <c r="BV5" s="88">
        <v>26355</v>
      </c>
      <c r="BW5" s="88">
        <v>12730</v>
      </c>
      <c r="BX5" s="88">
        <v>13625</v>
      </c>
      <c r="BY5" s="88">
        <v>14872</v>
      </c>
      <c r="BZ5" s="88">
        <v>7308</v>
      </c>
      <c r="CA5" s="88">
        <v>7564</v>
      </c>
      <c r="CB5" s="88">
        <v>22351</v>
      </c>
      <c r="CC5" s="88">
        <v>10899</v>
      </c>
      <c r="CD5" s="88">
        <v>11452</v>
      </c>
      <c r="CE5" s="88">
        <v>16046</v>
      </c>
      <c r="CF5" s="88">
        <v>7955</v>
      </c>
      <c r="CG5" s="88">
        <v>8091</v>
      </c>
      <c r="CH5" s="88">
        <v>26915</v>
      </c>
      <c r="CI5" s="88">
        <v>13440</v>
      </c>
      <c r="CJ5" s="88">
        <v>13475</v>
      </c>
      <c r="CK5" s="88">
        <v>27009</v>
      </c>
      <c r="CL5" s="88">
        <v>13167</v>
      </c>
      <c r="CM5" s="88">
        <v>13842</v>
      </c>
      <c r="CN5" s="88">
        <v>23860</v>
      </c>
      <c r="CO5" s="88">
        <v>11957</v>
      </c>
      <c r="CP5" s="88">
        <v>11903</v>
      </c>
      <c r="CQ5" s="88">
        <v>14995</v>
      </c>
      <c r="CR5" s="88">
        <v>7222</v>
      </c>
      <c r="CS5" s="88">
        <v>7773</v>
      </c>
      <c r="CT5" s="88">
        <v>12232</v>
      </c>
      <c r="CU5" s="88">
        <v>5935</v>
      </c>
      <c r="CV5" s="88">
        <v>6297</v>
      </c>
      <c r="CW5" s="88">
        <v>10295</v>
      </c>
      <c r="CX5" s="88">
        <v>5007</v>
      </c>
      <c r="CY5" s="88">
        <v>5288</v>
      </c>
    </row>
    <row r="6" spans="1:103" ht="18.75" customHeight="1" x14ac:dyDescent="0.15">
      <c r="A6" s="57" t="s">
        <v>173</v>
      </c>
      <c r="B6" s="78">
        <v>16800</v>
      </c>
      <c r="C6" s="78">
        <v>8593</v>
      </c>
      <c r="D6" s="78">
        <v>8207</v>
      </c>
      <c r="E6" s="78">
        <v>6367</v>
      </c>
      <c r="F6" s="78">
        <v>3232</v>
      </c>
      <c r="G6" s="78">
        <v>3135</v>
      </c>
      <c r="H6" s="78">
        <v>774</v>
      </c>
      <c r="I6" s="78">
        <v>407</v>
      </c>
      <c r="J6" s="78">
        <v>367</v>
      </c>
      <c r="K6" s="78">
        <v>597</v>
      </c>
      <c r="L6" s="78">
        <v>311</v>
      </c>
      <c r="M6" s="78">
        <v>286</v>
      </c>
      <c r="N6" s="78">
        <v>159</v>
      </c>
      <c r="O6" s="78">
        <v>80</v>
      </c>
      <c r="P6" s="78">
        <v>79</v>
      </c>
      <c r="Q6" s="78">
        <v>69</v>
      </c>
      <c r="R6" s="78">
        <v>37</v>
      </c>
      <c r="S6" s="78">
        <v>32</v>
      </c>
      <c r="T6" s="78">
        <v>589</v>
      </c>
      <c r="U6" s="78">
        <v>301</v>
      </c>
      <c r="V6" s="78">
        <v>288</v>
      </c>
      <c r="W6" s="78">
        <v>1018</v>
      </c>
      <c r="X6" s="78">
        <v>489</v>
      </c>
      <c r="Y6" s="78">
        <v>529</v>
      </c>
      <c r="Z6" s="78">
        <v>688</v>
      </c>
      <c r="AA6" s="78">
        <v>344</v>
      </c>
      <c r="AB6" s="78">
        <v>344</v>
      </c>
      <c r="AC6" s="78">
        <v>85</v>
      </c>
      <c r="AD6" s="78">
        <v>41</v>
      </c>
      <c r="AE6" s="78">
        <v>44</v>
      </c>
      <c r="AF6" s="78">
        <v>223</v>
      </c>
      <c r="AG6" s="78">
        <v>115</v>
      </c>
      <c r="AH6" s="78">
        <v>108</v>
      </c>
      <c r="AI6" s="78">
        <v>491</v>
      </c>
      <c r="AJ6" s="78">
        <v>247</v>
      </c>
      <c r="AK6" s="78">
        <v>244</v>
      </c>
      <c r="AL6" s="78">
        <v>641</v>
      </c>
      <c r="AM6" s="78">
        <v>339</v>
      </c>
      <c r="AN6" s="78">
        <v>302</v>
      </c>
      <c r="AO6" s="78">
        <v>261</v>
      </c>
      <c r="AP6" s="78">
        <v>120</v>
      </c>
      <c r="AQ6" s="78">
        <v>141</v>
      </c>
      <c r="AR6" s="78">
        <v>139</v>
      </c>
      <c r="AS6" s="78">
        <v>69</v>
      </c>
      <c r="AT6" s="78">
        <v>70</v>
      </c>
      <c r="AU6" s="78">
        <v>633</v>
      </c>
      <c r="AV6" s="78">
        <v>332</v>
      </c>
      <c r="AW6" s="78">
        <v>301</v>
      </c>
      <c r="AX6" s="78">
        <v>10433</v>
      </c>
      <c r="AY6" s="78">
        <v>5361</v>
      </c>
      <c r="AZ6" s="78">
        <v>5072</v>
      </c>
      <c r="BA6" s="78">
        <v>1196</v>
      </c>
      <c r="BB6" s="78">
        <v>601</v>
      </c>
      <c r="BC6" s="78">
        <v>595</v>
      </c>
      <c r="BD6" s="78">
        <v>550</v>
      </c>
      <c r="BE6" s="78">
        <v>314</v>
      </c>
      <c r="BF6" s="78">
        <v>236</v>
      </c>
      <c r="BG6" s="78">
        <v>667</v>
      </c>
      <c r="BH6" s="78">
        <v>331</v>
      </c>
      <c r="BI6" s="78">
        <v>336</v>
      </c>
      <c r="BJ6" s="78">
        <v>428</v>
      </c>
      <c r="BK6" s="78">
        <v>213</v>
      </c>
      <c r="BL6" s="78">
        <v>215</v>
      </c>
      <c r="BM6" s="78">
        <v>201</v>
      </c>
      <c r="BN6" s="78">
        <v>114</v>
      </c>
      <c r="BO6" s="78">
        <v>87</v>
      </c>
      <c r="BP6" s="78">
        <v>496</v>
      </c>
      <c r="BQ6" s="78">
        <v>247</v>
      </c>
      <c r="BR6" s="78">
        <v>249</v>
      </c>
      <c r="BS6" s="78">
        <v>421</v>
      </c>
      <c r="BT6" s="78">
        <v>215</v>
      </c>
      <c r="BU6" s="78">
        <v>206</v>
      </c>
      <c r="BV6" s="78">
        <v>934</v>
      </c>
      <c r="BW6" s="78">
        <v>502</v>
      </c>
      <c r="BX6" s="78">
        <v>432</v>
      </c>
      <c r="BY6" s="78">
        <v>480</v>
      </c>
      <c r="BZ6" s="78">
        <v>239</v>
      </c>
      <c r="CA6" s="78">
        <v>241</v>
      </c>
      <c r="CB6" s="78">
        <v>710</v>
      </c>
      <c r="CC6" s="78">
        <v>357</v>
      </c>
      <c r="CD6" s="78">
        <v>353</v>
      </c>
      <c r="CE6" s="78">
        <v>194</v>
      </c>
      <c r="CF6" s="78">
        <v>99</v>
      </c>
      <c r="CG6" s="78">
        <v>95</v>
      </c>
      <c r="CH6" s="78">
        <v>1497</v>
      </c>
      <c r="CI6" s="78">
        <v>761</v>
      </c>
      <c r="CJ6" s="78">
        <v>736</v>
      </c>
      <c r="CK6" s="78">
        <v>1046</v>
      </c>
      <c r="CL6" s="78">
        <v>568</v>
      </c>
      <c r="CM6" s="78">
        <v>478</v>
      </c>
      <c r="CN6" s="78">
        <v>840</v>
      </c>
      <c r="CO6" s="78">
        <v>409</v>
      </c>
      <c r="CP6" s="78">
        <v>431</v>
      </c>
      <c r="CQ6" s="78">
        <v>335</v>
      </c>
      <c r="CR6" s="78">
        <v>162</v>
      </c>
      <c r="CS6" s="78">
        <v>173</v>
      </c>
      <c r="CT6" s="78">
        <v>320</v>
      </c>
      <c r="CU6" s="78">
        <v>168</v>
      </c>
      <c r="CV6" s="78">
        <v>152</v>
      </c>
      <c r="CW6" s="78">
        <v>118</v>
      </c>
      <c r="CX6" s="78">
        <v>61</v>
      </c>
      <c r="CY6" s="78">
        <v>57</v>
      </c>
    </row>
    <row r="7" spans="1:103" ht="18.75" customHeight="1" x14ac:dyDescent="0.15">
      <c r="A7" s="87" t="s">
        <v>172</v>
      </c>
      <c r="B7" s="83">
        <v>3767</v>
      </c>
      <c r="C7" s="83">
        <v>1919</v>
      </c>
      <c r="D7" s="83">
        <v>1848</v>
      </c>
      <c r="E7" s="81">
        <v>1476</v>
      </c>
      <c r="F7" s="81">
        <v>760</v>
      </c>
      <c r="G7" s="81">
        <v>716</v>
      </c>
      <c r="H7" s="83">
        <v>189</v>
      </c>
      <c r="I7" s="84">
        <v>98</v>
      </c>
      <c r="J7" s="84">
        <v>91</v>
      </c>
      <c r="K7" s="83">
        <v>116</v>
      </c>
      <c r="L7" s="86">
        <v>58</v>
      </c>
      <c r="M7" s="86">
        <v>58</v>
      </c>
      <c r="N7" s="83">
        <v>30</v>
      </c>
      <c r="O7" s="81">
        <v>16</v>
      </c>
      <c r="P7" s="81">
        <v>14</v>
      </c>
      <c r="Q7" s="83">
        <v>21</v>
      </c>
      <c r="R7" s="82">
        <v>18</v>
      </c>
      <c r="S7" s="82">
        <v>3</v>
      </c>
      <c r="T7" s="83">
        <v>131</v>
      </c>
      <c r="U7" s="80">
        <v>70</v>
      </c>
      <c r="V7" s="80">
        <v>61</v>
      </c>
      <c r="W7" s="83">
        <v>277</v>
      </c>
      <c r="X7" s="84">
        <v>151</v>
      </c>
      <c r="Y7" s="84">
        <v>126</v>
      </c>
      <c r="Z7" s="83">
        <v>159</v>
      </c>
      <c r="AA7" s="84">
        <v>77</v>
      </c>
      <c r="AB7" s="84">
        <v>82</v>
      </c>
      <c r="AC7" s="83">
        <v>26</v>
      </c>
      <c r="AD7" s="81">
        <v>14</v>
      </c>
      <c r="AE7" s="81">
        <v>12</v>
      </c>
      <c r="AF7" s="83">
        <v>41</v>
      </c>
      <c r="AG7" s="80">
        <v>19</v>
      </c>
      <c r="AH7" s="80">
        <v>22</v>
      </c>
      <c r="AI7" s="83">
        <v>113</v>
      </c>
      <c r="AJ7" s="80">
        <v>59</v>
      </c>
      <c r="AK7" s="80">
        <v>54</v>
      </c>
      <c r="AL7" s="83">
        <v>149</v>
      </c>
      <c r="AM7" s="84">
        <v>83</v>
      </c>
      <c r="AN7" s="84">
        <v>66</v>
      </c>
      <c r="AO7" s="83">
        <v>56</v>
      </c>
      <c r="AP7" s="81">
        <v>22</v>
      </c>
      <c r="AQ7" s="81">
        <v>34</v>
      </c>
      <c r="AR7" s="83">
        <v>28</v>
      </c>
      <c r="AS7" s="80">
        <v>12</v>
      </c>
      <c r="AT7" s="80">
        <v>16</v>
      </c>
      <c r="AU7" s="83">
        <v>140</v>
      </c>
      <c r="AV7" s="84">
        <v>63</v>
      </c>
      <c r="AW7" s="84">
        <v>77</v>
      </c>
      <c r="AX7" s="81">
        <v>2291</v>
      </c>
      <c r="AY7" s="81">
        <v>1159</v>
      </c>
      <c r="AZ7" s="81">
        <v>1132</v>
      </c>
      <c r="BA7" s="81">
        <v>250</v>
      </c>
      <c r="BB7" s="84">
        <v>125</v>
      </c>
      <c r="BC7" s="84">
        <v>125</v>
      </c>
      <c r="BD7" s="81">
        <v>108</v>
      </c>
      <c r="BE7" s="80">
        <v>64</v>
      </c>
      <c r="BF7" s="80">
        <v>44</v>
      </c>
      <c r="BG7" s="81">
        <v>158</v>
      </c>
      <c r="BH7" s="81">
        <v>80</v>
      </c>
      <c r="BI7" s="81">
        <v>78</v>
      </c>
      <c r="BJ7" s="81">
        <v>77</v>
      </c>
      <c r="BK7" s="80">
        <v>36</v>
      </c>
      <c r="BL7" s="80">
        <v>41</v>
      </c>
      <c r="BM7" s="81">
        <v>64</v>
      </c>
      <c r="BN7" s="81">
        <v>32</v>
      </c>
      <c r="BO7" s="81">
        <v>32</v>
      </c>
      <c r="BP7" s="81">
        <v>91</v>
      </c>
      <c r="BQ7" s="80">
        <v>40</v>
      </c>
      <c r="BR7" s="80">
        <v>51</v>
      </c>
      <c r="BS7" s="81">
        <v>98</v>
      </c>
      <c r="BT7" s="80">
        <v>49</v>
      </c>
      <c r="BU7" s="80">
        <v>49</v>
      </c>
      <c r="BV7" s="81">
        <v>274</v>
      </c>
      <c r="BW7" s="80">
        <v>131</v>
      </c>
      <c r="BX7" s="80">
        <v>143</v>
      </c>
      <c r="BY7" s="81">
        <v>110</v>
      </c>
      <c r="BZ7" s="85">
        <v>55</v>
      </c>
      <c r="CA7" s="85">
        <v>55</v>
      </c>
      <c r="CB7" s="81">
        <v>132</v>
      </c>
      <c r="CC7" s="80">
        <v>65</v>
      </c>
      <c r="CD7" s="80">
        <v>67</v>
      </c>
      <c r="CE7" s="81">
        <v>25</v>
      </c>
      <c r="CF7" s="80">
        <v>14</v>
      </c>
      <c r="CG7" s="80">
        <v>11</v>
      </c>
      <c r="CH7" s="81">
        <v>305</v>
      </c>
      <c r="CI7" s="80">
        <v>155</v>
      </c>
      <c r="CJ7" s="80">
        <v>150</v>
      </c>
      <c r="CK7" s="81">
        <v>228</v>
      </c>
      <c r="CL7" s="80">
        <v>130</v>
      </c>
      <c r="CM7" s="80">
        <v>98</v>
      </c>
      <c r="CN7" s="81">
        <v>196</v>
      </c>
      <c r="CO7" s="80">
        <v>94</v>
      </c>
      <c r="CP7" s="80">
        <v>102</v>
      </c>
      <c r="CQ7" s="81">
        <v>98</v>
      </c>
      <c r="CR7" s="80">
        <v>51</v>
      </c>
      <c r="CS7" s="80">
        <v>47</v>
      </c>
      <c r="CT7" s="81">
        <v>58</v>
      </c>
      <c r="CU7" s="80">
        <v>28</v>
      </c>
      <c r="CV7" s="80">
        <v>30</v>
      </c>
      <c r="CW7" s="81">
        <v>19</v>
      </c>
      <c r="CX7" s="80">
        <v>10</v>
      </c>
      <c r="CY7" s="80">
        <v>9</v>
      </c>
    </row>
    <row r="8" spans="1:103" ht="18.75" customHeight="1" x14ac:dyDescent="0.15">
      <c r="A8" s="87" t="s">
        <v>171</v>
      </c>
      <c r="B8" s="83">
        <v>3468</v>
      </c>
      <c r="C8" s="83">
        <v>1799</v>
      </c>
      <c r="D8" s="83">
        <v>1669</v>
      </c>
      <c r="E8" s="81">
        <v>1306</v>
      </c>
      <c r="F8" s="81">
        <v>691</v>
      </c>
      <c r="G8" s="81">
        <v>615</v>
      </c>
      <c r="H8" s="83">
        <v>160</v>
      </c>
      <c r="I8" s="84">
        <v>89</v>
      </c>
      <c r="J8" s="84">
        <v>71</v>
      </c>
      <c r="K8" s="83">
        <v>137</v>
      </c>
      <c r="L8" s="86">
        <v>82</v>
      </c>
      <c r="M8" s="86">
        <v>55</v>
      </c>
      <c r="N8" s="83">
        <v>35</v>
      </c>
      <c r="O8" s="81">
        <v>19</v>
      </c>
      <c r="P8" s="81">
        <v>16</v>
      </c>
      <c r="Q8" s="83">
        <v>9</v>
      </c>
      <c r="R8" s="82">
        <v>5</v>
      </c>
      <c r="S8" s="82">
        <v>4</v>
      </c>
      <c r="T8" s="83">
        <v>101</v>
      </c>
      <c r="U8" s="80">
        <v>53</v>
      </c>
      <c r="V8" s="80">
        <v>48</v>
      </c>
      <c r="W8" s="83">
        <v>192</v>
      </c>
      <c r="X8" s="84">
        <v>101</v>
      </c>
      <c r="Y8" s="84">
        <v>91</v>
      </c>
      <c r="Z8" s="83">
        <v>151</v>
      </c>
      <c r="AA8" s="84">
        <v>77</v>
      </c>
      <c r="AB8" s="84">
        <v>74</v>
      </c>
      <c r="AC8" s="83">
        <v>19</v>
      </c>
      <c r="AD8" s="81">
        <v>10</v>
      </c>
      <c r="AE8" s="81">
        <v>9</v>
      </c>
      <c r="AF8" s="83">
        <v>46</v>
      </c>
      <c r="AG8" s="80">
        <v>28</v>
      </c>
      <c r="AH8" s="80">
        <v>18</v>
      </c>
      <c r="AI8" s="83">
        <v>105</v>
      </c>
      <c r="AJ8" s="80">
        <v>51</v>
      </c>
      <c r="AK8" s="80">
        <v>54</v>
      </c>
      <c r="AL8" s="83">
        <v>122</v>
      </c>
      <c r="AM8" s="84">
        <v>60</v>
      </c>
      <c r="AN8" s="84">
        <v>62</v>
      </c>
      <c r="AO8" s="83">
        <v>60</v>
      </c>
      <c r="AP8" s="81">
        <v>26</v>
      </c>
      <c r="AQ8" s="81">
        <v>34</v>
      </c>
      <c r="AR8" s="83">
        <v>29</v>
      </c>
      <c r="AS8" s="80">
        <v>14</v>
      </c>
      <c r="AT8" s="80">
        <v>15</v>
      </c>
      <c r="AU8" s="83">
        <v>140</v>
      </c>
      <c r="AV8" s="84">
        <v>76</v>
      </c>
      <c r="AW8" s="84">
        <v>64</v>
      </c>
      <c r="AX8" s="81">
        <v>2162</v>
      </c>
      <c r="AY8" s="81">
        <v>1108</v>
      </c>
      <c r="AZ8" s="81">
        <v>1054</v>
      </c>
      <c r="BA8" s="81">
        <v>224</v>
      </c>
      <c r="BB8" s="84">
        <v>108</v>
      </c>
      <c r="BC8" s="84">
        <v>116</v>
      </c>
      <c r="BD8" s="81">
        <v>114</v>
      </c>
      <c r="BE8" s="80">
        <v>62</v>
      </c>
      <c r="BF8" s="80">
        <v>52</v>
      </c>
      <c r="BG8" s="81">
        <v>120</v>
      </c>
      <c r="BH8" s="81">
        <v>62</v>
      </c>
      <c r="BI8" s="81">
        <v>58</v>
      </c>
      <c r="BJ8" s="81">
        <v>92</v>
      </c>
      <c r="BK8" s="80">
        <v>51</v>
      </c>
      <c r="BL8" s="80">
        <v>41</v>
      </c>
      <c r="BM8" s="81">
        <v>43</v>
      </c>
      <c r="BN8" s="81">
        <v>17</v>
      </c>
      <c r="BO8" s="81">
        <v>26</v>
      </c>
      <c r="BP8" s="81">
        <v>94</v>
      </c>
      <c r="BQ8" s="80">
        <v>47</v>
      </c>
      <c r="BR8" s="80">
        <v>47</v>
      </c>
      <c r="BS8" s="81">
        <v>105</v>
      </c>
      <c r="BT8" s="80">
        <v>50</v>
      </c>
      <c r="BU8" s="80">
        <v>55</v>
      </c>
      <c r="BV8" s="81">
        <v>207</v>
      </c>
      <c r="BW8" s="80">
        <v>120</v>
      </c>
      <c r="BX8" s="80">
        <v>87</v>
      </c>
      <c r="BY8" s="81">
        <v>110</v>
      </c>
      <c r="BZ8" s="85">
        <v>51</v>
      </c>
      <c r="CA8" s="85">
        <v>59</v>
      </c>
      <c r="CB8" s="81">
        <v>140</v>
      </c>
      <c r="CC8" s="80">
        <v>73</v>
      </c>
      <c r="CD8" s="80">
        <v>67</v>
      </c>
      <c r="CE8" s="81">
        <v>26</v>
      </c>
      <c r="CF8" s="80">
        <v>16</v>
      </c>
      <c r="CG8" s="80">
        <v>10</v>
      </c>
      <c r="CH8" s="81">
        <v>328</v>
      </c>
      <c r="CI8" s="80">
        <v>167</v>
      </c>
      <c r="CJ8" s="80">
        <v>161</v>
      </c>
      <c r="CK8" s="81">
        <v>225</v>
      </c>
      <c r="CL8" s="80">
        <v>119</v>
      </c>
      <c r="CM8" s="80">
        <v>106</v>
      </c>
      <c r="CN8" s="81">
        <v>189</v>
      </c>
      <c r="CO8" s="80">
        <v>91</v>
      </c>
      <c r="CP8" s="80">
        <v>98</v>
      </c>
      <c r="CQ8" s="81">
        <v>61</v>
      </c>
      <c r="CR8" s="80">
        <v>30</v>
      </c>
      <c r="CS8" s="80">
        <v>31</v>
      </c>
      <c r="CT8" s="81">
        <v>66</v>
      </c>
      <c r="CU8" s="80">
        <v>35</v>
      </c>
      <c r="CV8" s="80">
        <v>31</v>
      </c>
      <c r="CW8" s="81">
        <v>18</v>
      </c>
      <c r="CX8" s="80">
        <v>9</v>
      </c>
      <c r="CY8" s="80">
        <v>9</v>
      </c>
    </row>
    <row r="9" spans="1:103" ht="18.75" customHeight="1" x14ac:dyDescent="0.15">
      <c r="A9" s="87" t="s">
        <v>170</v>
      </c>
      <c r="B9" s="83">
        <v>3078</v>
      </c>
      <c r="C9" s="83">
        <v>1588</v>
      </c>
      <c r="D9" s="83">
        <v>1490</v>
      </c>
      <c r="E9" s="81">
        <v>1192</v>
      </c>
      <c r="F9" s="81">
        <v>603</v>
      </c>
      <c r="G9" s="81">
        <v>589</v>
      </c>
      <c r="H9" s="83">
        <v>139</v>
      </c>
      <c r="I9" s="84">
        <v>72</v>
      </c>
      <c r="J9" s="84">
        <v>67</v>
      </c>
      <c r="K9" s="83">
        <v>125</v>
      </c>
      <c r="L9" s="86">
        <v>58</v>
      </c>
      <c r="M9" s="86">
        <v>67</v>
      </c>
      <c r="N9" s="83">
        <v>37</v>
      </c>
      <c r="O9" s="81">
        <v>17</v>
      </c>
      <c r="P9" s="81">
        <v>20</v>
      </c>
      <c r="Q9" s="83">
        <v>9</v>
      </c>
      <c r="R9" s="82">
        <v>4</v>
      </c>
      <c r="S9" s="82">
        <v>5</v>
      </c>
      <c r="T9" s="83">
        <v>108</v>
      </c>
      <c r="U9" s="80">
        <v>59</v>
      </c>
      <c r="V9" s="80">
        <v>49</v>
      </c>
      <c r="W9" s="83">
        <v>185</v>
      </c>
      <c r="X9" s="84">
        <v>82</v>
      </c>
      <c r="Y9" s="84">
        <v>103</v>
      </c>
      <c r="Z9" s="83">
        <v>119</v>
      </c>
      <c r="AA9" s="84">
        <v>55</v>
      </c>
      <c r="AB9" s="84">
        <v>64</v>
      </c>
      <c r="AC9" s="83">
        <v>8</v>
      </c>
      <c r="AD9" s="81">
        <v>4</v>
      </c>
      <c r="AE9" s="81">
        <v>4</v>
      </c>
      <c r="AF9" s="83">
        <v>39</v>
      </c>
      <c r="AG9" s="80">
        <v>22</v>
      </c>
      <c r="AH9" s="80">
        <v>17</v>
      </c>
      <c r="AI9" s="83">
        <v>104</v>
      </c>
      <c r="AJ9" s="80">
        <v>47</v>
      </c>
      <c r="AK9" s="80">
        <v>57</v>
      </c>
      <c r="AL9" s="83">
        <v>123</v>
      </c>
      <c r="AM9" s="84">
        <v>68</v>
      </c>
      <c r="AN9" s="84">
        <v>55</v>
      </c>
      <c r="AO9" s="83">
        <v>57</v>
      </c>
      <c r="AP9" s="81">
        <v>28</v>
      </c>
      <c r="AQ9" s="81">
        <v>29</v>
      </c>
      <c r="AR9" s="83">
        <v>30</v>
      </c>
      <c r="AS9" s="80">
        <v>14</v>
      </c>
      <c r="AT9" s="80">
        <v>16</v>
      </c>
      <c r="AU9" s="83">
        <v>109</v>
      </c>
      <c r="AV9" s="84">
        <v>73</v>
      </c>
      <c r="AW9" s="84">
        <v>36</v>
      </c>
      <c r="AX9" s="81">
        <v>1886</v>
      </c>
      <c r="AY9" s="81">
        <v>985</v>
      </c>
      <c r="AZ9" s="81">
        <v>901</v>
      </c>
      <c r="BA9" s="81">
        <v>224</v>
      </c>
      <c r="BB9" s="84">
        <v>110</v>
      </c>
      <c r="BC9" s="84">
        <v>114</v>
      </c>
      <c r="BD9" s="81">
        <v>97</v>
      </c>
      <c r="BE9" s="80">
        <v>52</v>
      </c>
      <c r="BF9" s="80">
        <v>45</v>
      </c>
      <c r="BG9" s="81">
        <v>119</v>
      </c>
      <c r="BH9" s="81">
        <v>52</v>
      </c>
      <c r="BI9" s="81">
        <v>67</v>
      </c>
      <c r="BJ9" s="81">
        <v>82</v>
      </c>
      <c r="BK9" s="80">
        <v>44</v>
      </c>
      <c r="BL9" s="80">
        <v>38</v>
      </c>
      <c r="BM9" s="81">
        <v>42</v>
      </c>
      <c r="BN9" s="81">
        <v>29</v>
      </c>
      <c r="BO9" s="81">
        <v>13</v>
      </c>
      <c r="BP9" s="81">
        <v>99</v>
      </c>
      <c r="BQ9" s="80">
        <v>44</v>
      </c>
      <c r="BR9" s="80">
        <v>55</v>
      </c>
      <c r="BS9" s="81">
        <v>72</v>
      </c>
      <c r="BT9" s="80">
        <v>47</v>
      </c>
      <c r="BU9" s="80">
        <v>25</v>
      </c>
      <c r="BV9" s="81">
        <v>151</v>
      </c>
      <c r="BW9" s="80">
        <v>79</v>
      </c>
      <c r="BX9" s="80">
        <v>72</v>
      </c>
      <c r="BY9" s="81">
        <v>79</v>
      </c>
      <c r="BZ9" s="85">
        <v>44</v>
      </c>
      <c r="CA9" s="85">
        <v>35</v>
      </c>
      <c r="CB9" s="81">
        <v>147</v>
      </c>
      <c r="CC9" s="80">
        <v>82</v>
      </c>
      <c r="CD9" s="80">
        <v>65</v>
      </c>
      <c r="CE9" s="81">
        <v>28</v>
      </c>
      <c r="CF9" s="80">
        <v>15</v>
      </c>
      <c r="CG9" s="80">
        <v>13</v>
      </c>
      <c r="CH9" s="81">
        <v>271</v>
      </c>
      <c r="CI9" s="80">
        <v>146</v>
      </c>
      <c r="CJ9" s="80">
        <v>125</v>
      </c>
      <c r="CK9" s="81">
        <v>199</v>
      </c>
      <c r="CL9" s="80">
        <v>113</v>
      </c>
      <c r="CM9" s="80">
        <v>86</v>
      </c>
      <c r="CN9" s="81">
        <v>139</v>
      </c>
      <c r="CO9" s="80">
        <v>65</v>
      </c>
      <c r="CP9" s="80">
        <v>74</v>
      </c>
      <c r="CQ9" s="81">
        <v>55</v>
      </c>
      <c r="CR9" s="80">
        <v>23</v>
      </c>
      <c r="CS9" s="80">
        <v>32</v>
      </c>
      <c r="CT9" s="81">
        <v>59</v>
      </c>
      <c r="CU9" s="80">
        <v>29</v>
      </c>
      <c r="CV9" s="80">
        <v>30</v>
      </c>
      <c r="CW9" s="81">
        <v>23</v>
      </c>
      <c r="CX9" s="80">
        <v>11</v>
      </c>
      <c r="CY9" s="80">
        <v>12</v>
      </c>
    </row>
    <row r="10" spans="1:103" ht="18.75" customHeight="1" x14ac:dyDescent="0.15">
      <c r="A10" s="87" t="s">
        <v>169</v>
      </c>
      <c r="B10" s="83">
        <v>3275</v>
      </c>
      <c r="C10" s="83">
        <v>1682</v>
      </c>
      <c r="D10" s="83">
        <v>1593</v>
      </c>
      <c r="E10" s="81">
        <v>1213</v>
      </c>
      <c r="F10" s="81">
        <v>592</v>
      </c>
      <c r="G10" s="81">
        <v>621</v>
      </c>
      <c r="H10" s="83">
        <v>154</v>
      </c>
      <c r="I10" s="84">
        <v>82</v>
      </c>
      <c r="J10" s="84">
        <v>72</v>
      </c>
      <c r="K10" s="83">
        <v>104</v>
      </c>
      <c r="L10" s="86">
        <v>50</v>
      </c>
      <c r="M10" s="86">
        <v>54</v>
      </c>
      <c r="N10" s="83">
        <v>26</v>
      </c>
      <c r="O10" s="81">
        <v>14</v>
      </c>
      <c r="P10" s="81">
        <v>12</v>
      </c>
      <c r="Q10" s="83">
        <v>12</v>
      </c>
      <c r="R10" s="82">
        <v>4</v>
      </c>
      <c r="S10" s="82">
        <v>8</v>
      </c>
      <c r="T10" s="83">
        <v>119</v>
      </c>
      <c r="U10" s="80">
        <v>56</v>
      </c>
      <c r="V10" s="80">
        <v>63</v>
      </c>
      <c r="W10" s="83">
        <v>193</v>
      </c>
      <c r="X10" s="84">
        <v>83</v>
      </c>
      <c r="Y10" s="84">
        <v>110</v>
      </c>
      <c r="Z10" s="83">
        <v>136</v>
      </c>
      <c r="AA10" s="84">
        <v>73</v>
      </c>
      <c r="AB10" s="84">
        <v>63</v>
      </c>
      <c r="AC10" s="83">
        <v>12</v>
      </c>
      <c r="AD10" s="81">
        <v>4</v>
      </c>
      <c r="AE10" s="81">
        <v>8</v>
      </c>
      <c r="AF10" s="83">
        <v>52</v>
      </c>
      <c r="AG10" s="80">
        <v>25</v>
      </c>
      <c r="AH10" s="80">
        <v>27</v>
      </c>
      <c r="AI10" s="83">
        <v>90</v>
      </c>
      <c r="AJ10" s="80">
        <v>41</v>
      </c>
      <c r="AK10" s="80">
        <v>49</v>
      </c>
      <c r="AL10" s="83">
        <v>126</v>
      </c>
      <c r="AM10" s="84">
        <v>68</v>
      </c>
      <c r="AN10" s="84">
        <v>58</v>
      </c>
      <c r="AO10" s="83">
        <v>41</v>
      </c>
      <c r="AP10" s="81">
        <v>20</v>
      </c>
      <c r="AQ10" s="81">
        <v>21</v>
      </c>
      <c r="AR10" s="83">
        <v>30</v>
      </c>
      <c r="AS10" s="80">
        <v>16</v>
      </c>
      <c r="AT10" s="80">
        <v>14</v>
      </c>
      <c r="AU10" s="83">
        <v>118</v>
      </c>
      <c r="AV10" s="84">
        <v>56</v>
      </c>
      <c r="AW10" s="84">
        <v>62</v>
      </c>
      <c r="AX10" s="81">
        <v>2062</v>
      </c>
      <c r="AY10" s="81">
        <v>1090</v>
      </c>
      <c r="AZ10" s="81">
        <v>972</v>
      </c>
      <c r="BA10" s="81">
        <v>248</v>
      </c>
      <c r="BB10" s="84">
        <v>134</v>
      </c>
      <c r="BC10" s="84">
        <v>114</v>
      </c>
      <c r="BD10" s="81">
        <v>103</v>
      </c>
      <c r="BE10" s="80">
        <v>56</v>
      </c>
      <c r="BF10" s="80">
        <v>47</v>
      </c>
      <c r="BG10" s="81">
        <v>141</v>
      </c>
      <c r="BH10" s="81">
        <v>82</v>
      </c>
      <c r="BI10" s="81">
        <v>59</v>
      </c>
      <c r="BJ10" s="81">
        <v>89</v>
      </c>
      <c r="BK10" s="80">
        <v>39</v>
      </c>
      <c r="BL10" s="80">
        <v>50</v>
      </c>
      <c r="BM10" s="81">
        <v>25</v>
      </c>
      <c r="BN10" s="81">
        <v>19</v>
      </c>
      <c r="BO10" s="81">
        <v>6</v>
      </c>
      <c r="BP10" s="81">
        <v>110</v>
      </c>
      <c r="BQ10" s="80">
        <v>59</v>
      </c>
      <c r="BR10" s="80">
        <v>51</v>
      </c>
      <c r="BS10" s="81">
        <v>76</v>
      </c>
      <c r="BT10" s="80">
        <v>33</v>
      </c>
      <c r="BU10" s="80">
        <v>43</v>
      </c>
      <c r="BV10" s="81">
        <v>166</v>
      </c>
      <c r="BW10" s="80">
        <v>96</v>
      </c>
      <c r="BX10" s="80">
        <v>70</v>
      </c>
      <c r="BY10" s="81">
        <v>91</v>
      </c>
      <c r="BZ10" s="85">
        <v>49</v>
      </c>
      <c r="CA10" s="85">
        <v>42</v>
      </c>
      <c r="CB10" s="81">
        <v>146</v>
      </c>
      <c r="CC10" s="80">
        <v>72</v>
      </c>
      <c r="CD10" s="80">
        <v>74</v>
      </c>
      <c r="CE10" s="81">
        <v>49</v>
      </c>
      <c r="CF10" s="80">
        <v>23</v>
      </c>
      <c r="CG10" s="80">
        <v>26</v>
      </c>
      <c r="CH10" s="81">
        <v>281</v>
      </c>
      <c r="CI10" s="80">
        <v>139</v>
      </c>
      <c r="CJ10" s="80">
        <v>142</v>
      </c>
      <c r="CK10" s="81">
        <v>194</v>
      </c>
      <c r="CL10" s="80">
        <v>105</v>
      </c>
      <c r="CM10" s="80">
        <v>89</v>
      </c>
      <c r="CN10" s="81">
        <v>177</v>
      </c>
      <c r="CO10" s="80">
        <v>91</v>
      </c>
      <c r="CP10" s="80">
        <v>86</v>
      </c>
      <c r="CQ10" s="81">
        <v>60</v>
      </c>
      <c r="CR10" s="80">
        <v>27</v>
      </c>
      <c r="CS10" s="80">
        <v>33</v>
      </c>
      <c r="CT10" s="81">
        <v>76</v>
      </c>
      <c r="CU10" s="80">
        <v>46</v>
      </c>
      <c r="CV10" s="80">
        <v>30</v>
      </c>
      <c r="CW10" s="81">
        <v>30</v>
      </c>
      <c r="CX10" s="80">
        <v>20</v>
      </c>
      <c r="CY10" s="80">
        <v>10</v>
      </c>
    </row>
    <row r="11" spans="1:103" ht="18.75" customHeight="1" x14ac:dyDescent="0.15">
      <c r="A11" s="87" t="s">
        <v>168</v>
      </c>
      <c r="B11" s="83">
        <v>3212</v>
      </c>
      <c r="C11" s="83">
        <v>1605</v>
      </c>
      <c r="D11" s="83">
        <v>1607</v>
      </c>
      <c r="E11" s="81">
        <v>1180</v>
      </c>
      <c r="F11" s="81">
        <v>586</v>
      </c>
      <c r="G11" s="81">
        <v>594</v>
      </c>
      <c r="H11" s="83">
        <v>132</v>
      </c>
      <c r="I11" s="84">
        <v>66</v>
      </c>
      <c r="J11" s="84">
        <v>66</v>
      </c>
      <c r="K11" s="83">
        <v>115</v>
      </c>
      <c r="L11" s="86">
        <v>63</v>
      </c>
      <c r="M11" s="86">
        <v>52</v>
      </c>
      <c r="N11" s="83">
        <v>31</v>
      </c>
      <c r="O11" s="81">
        <v>14</v>
      </c>
      <c r="P11" s="81">
        <v>17</v>
      </c>
      <c r="Q11" s="83">
        <v>18</v>
      </c>
      <c r="R11" s="82">
        <v>6</v>
      </c>
      <c r="S11" s="82">
        <v>12</v>
      </c>
      <c r="T11" s="83">
        <v>130</v>
      </c>
      <c r="U11" s="80">
        <v>63</v>
      </c>
      <c r="V11" s="80">
        <v>67</v>
      </c>
      <c r="W11" s="83">
        <v>171</v>
      </c>
      <c r="X11" s="84">
        <v>72</v>
      </c>
      <c r="Y11" s="84">
        <v>99</v>
      </c>
      <c r="Z11" s="83">
        <v>123</v>
      </c>
      <c r="AA11" s="84">
        <v>62</v>
      </c>
      <c r="AB11" s="84">
        <v>61</v>
      </c>
      <c r="AC11" s="83">
        <v>20</v>
      </c>
      <c r="AD11" s="81">
        <v>9</v>
      </c>
      <c r="AE11" s="81">
        <v>11</v>
      </c>
      <c r="AF11" s="83">
        <v>45</v>
      </c>
      <c r="AG11" s="80">
        <v>21</v>
      </c>
      <c r="AH11" s="80">
        <v>24</v>
      </c>
      <c r="AI11" s="83">
        <v>79</v>
      </c>
      <c r="AJ11" s="80">
        <v>49</v>
      </c>
      <c r="AK11" s="80">
        <v>30</v>
      </c>
      <c r="AL11" s="83">
        <v>121</v>
      </c>
      <c r="AM11" s="84">
        <v>60</v>
      </c>
      <c r="AN11" s="84">
        <v>61</v>
      </c>
      <c r="AO11" s="83">
        <v>47</v>
      </c>
      <c r="AP11" s="81">
        <v>24</v>
      </c>
      <c r="AQ11" s="81">
        <v>23</v>
      </c>
      <c r="AR11" s="83">
        <v>22</v>
      </c>
      <c r="AS11" s="80">
        <v>13</v>
      </c>
      <c r="AT11" s="80">
        <v>9</v>
      </c>
      <c r="AU11" s="83">
        <v>126</v>
      </c>
      <c r="AV11" s="84">
        <v>64</v>
      </c>
      <c r="AW11" s="84">
        <v>62</v>
      </c>
      <c r="AX11" s="81">
        <v>2032</v>
      </c>
      <c r="AY11" s="81">
        <v>1019</v>
      </c>
      <c r="AZ11" s="81">
        <v>1013</v>
      </c>
      <c r="BA11" s="81">
        <v>250</v>
      </c>
      <c r="BB11" s="84">
        <v>124</v>
      </c>
      <c r="BC11" s="84">
        <v>126</v>
      </c>
      <c r="BD11" s="81">
        <v>128</v>
      </c>
      <c r="BE11" s="80">
        <v>80</v>
      </c>
      <c r="BF11" s="80">
        <v>48</v>
      </c>
      <c r="BG11" s="81">
        <v>129</v>
      </c>
      <c r="BH11" s="81">
        <v>55</v>
      </c>
      <c r="BI11" s="81">
        <v>74</v>
      </c>
      <c r="BJ11" s="81">
        <v>88</v>
      </c>
      <c r="BK11" s="80">
        <v>43</v>
      </c>
      <c r="BL11" s="80">
        <v>45</v>
      </c>
      <c r="BM11" s="81">
        <v>27</v>
      </c>
      <c r="BN11" s="81">
        <v>17</v>
      </c>
      <c r="BO11" s="81">
        <v>10</v>
      </c>
      <c r="BP11" s="81">
        <v>102</v>
      </c>
      <c r="BQ11" s="80">
        <v>57</v>
      </c>
      <c r="BR11" s="80">
        <v>45</v>
      </c>
      <c r="BS11" s="81">
        <v>70</v>
      </c>
      <c r="BT11" s="80">
        <v>36</v>
      </c>
      <c r="BU11" s="80">
        <v>34</v>
      </c>
      <c r="BV11" s="81">
        <v>136</v>
      </c>
      <c r="BW11" s="80">
        <v>76</v>
      </c>
      <c r="BX11" s="80">
        <v>60</v>
      </c>
      <c r="BY11" s="81">
        <v>90</v>
      </c>
      <c r="BZ11" s="85">
        <v>40</v>
      </c>
      <c r="CA11" s="85">
        <v>50</v>
      </c>
      <c r="CB11" s="81">
        <v>145</v>
      </c>
      <c r="CC11" s="80">
        <v>65</v>
      </c>
      <c r="CD11" s="80">
        <v>80</v>
      </c>
      <c r="CE11" s="81">
        <v>66</v>
      </c>
      <c r="CF11" s="80">
        <v>31</v>
      </c>
      <c r="CG11" s="80">
        <v>35</v>
      </c>
      <c r="CH11" s="81">
        <v>312</v>
      </c>
      <c r="CI11" s="80">
        <v>154</v>
      </c>
      <c r="CJ11" s="80">
        <v>158</v>
      </c>
      <c r="CK11" s="81">
        <v>200</v>
      </c>
      <c r="CL11" s="80">
        <v>101</v>
      </c>
      <c r="CM11" s="80">
        <v>99</v>
      </c>
      <c r="CN11" s="81">
        <v>139</v>
      </c>
      <c r="CO11" s="80">
        <v>68</v>
      </c>
      <c r="CP11" s="80">
        <v>71</v>
      </c>
      <c r="CQ11" s="81">
        <v>61</v>
      </c>
      <c r="CR11" s="80">
        <v>31</v>
      </c>
      <c r="CS11" s="80">
        <v>30</v>
      </c>
      <c r="CT11" s="81">
        <v>61</v>
      </c>
      <c r="CU11" s="80">
        <v>30</v>
      </c>
      <c r="CV11" s="80">
        <v>31</v>
      </c>
      <c r="CW11" s="81">
        <v>28</v>
      </c>
      <c r="CX11" s="80">
        <v>11</v>
      </c>
      <c r="CY11" s="80">
        <v>17</v>
      </c>
    </row>
    <row r="12" spans="1:103" ht="18.75" customHeight="1" x14ac:dyDescent="0.15">
      <c r="A12" s="57" t="s">
        <v>199</v>
      </c>
      <c r="B12" s="78">
        <v>18364</v>
      </c>
      <c r="C12" s="78">
        <v>9312</v>
      </c>
      <c r="D12" s="78">
        <v>9052</v>
      </c>
      <c r="E12" s="78">
        <v>6163</v>
      </c>
      <c r="F12" s="78">
        <v>3087</v>
      </c>
      <c r="G12" s="78">
        <v>3076</v>
      </c>
      <c r="H12" s="78">
        <v>518</v>
      </c>
      <c r="I12" s="78">
        <v>262</v>
      </c>
      <c r="J12" s="78">
        <v>256</v>
      </c>
      <c r="K12" s="78">
        <v>524</v>
      </c>
      <c r="L12" s="78">
        <v>266</v>
      </c>
      <c r="M12" s="78">
        <v>258</v>
      </c>
      <c r="N12" s="78">
        <v>273</v>
      </c>
      <c r="O12" s="78">
        <v>154</v>
      </c>
      <c r="P12" s="78">
        <v>119</v>
      </c>
      <c r="Q12" s="78">
        <v>71</v>
      </c>
      <c r="R12" s="78">
        <v>37</v>
      </c>
      <c r="S12" s="78">
        <v>34</v>
      </c>
      <c r="T12" s="78">
        <v>424</v>
      </c>
      <c r="U12" s="78">
        <v>207</v>
      </c>
      <c r="V12" s="78">
        <v>217</v>
      </c>
      <c r="W12" s="78">
        <v>766</v>
      </c>
      <c r="X12" s="78">
        <v>379</v>
      </c>
      <c r="Y12" s="78">
        <v>387</v>
      </c>
      <c r="Z12" s="78">
        <v>657</v>
      </c>
      <c r="AA12" s="78">
        <v>322</v>
      </c>
      <c r="AB12" s="78">
        <v>335</v>
      </c>
      <c r="AC12" s="78">
        <v>110</v>
      </c>
      <c r="AD12" s="78">
        <v>55</v>
      </c>
      <c r="AE12" s="78">
        <v>55</v>
      </c>
      <c r="AF12" s="78">
        <v>321</v>
      </c>
      <c r="AG12" s="78">
        <v>156</v>
      </c>
      <c r="AH12" s="78">
        <v>165</v>
      </c>
      <c r="AI12" s="78">
        <v>516</v>
      </c>
      <c r="AJ12" s="78">
        <v>280</v>
      </c>
      <c r="AK12" s="78">
        <v>236</v>
      </c>
      <c r="AL12" s="78">
        <v>691</v>
      </c>
      <c r="AM12" s="78">
        <v>333</v>
      </c>
      <c r="AN12" s="78">
        <v>358</v>
      </c>
      <c r="AO12" s="78">
        <v>276</v>
      </c>
      <c r="AP12" s="78">
        <v>131</v>
      </c>
      <c r="AQ12" s="78">
        <v>145</v>
      </c>
      <c r="AR12" s="78">
        <v>220</v>
      </c>
      <c r="AS12" s="78">
        <v>106</v>
      </c>
      <c r="AT12" s="78">
        <v>114</v>
      </c>
      <c r="AU12" s="78">
        <v>796</v>
      </c>
      <c r="AV12" s="78">
        <v>399</v>
      </c>
      <c r="AW12" s="78">
        <v>397</v>
      </c>
      <c r="AX12" s="78">
        <v>12201</v>
      </c>
      <c r="AY12" s="78">
        <v>6225</v>
      </c>
      <c r="AZ12" s="78">
        <v>5976</v>
      </c>
      <c r="BA12" s="78">
        <v>1256</v>
      </c>
      <c r="BB12" s="78">
        <v>638</v>
      </c>
      <c r="BC12" s="78">
        <v>618</v>
      </c>
      <c r="BD12" s="78">
        <v>586</v>
      </c>
      <c r="BE12" s="78">
        <v>317</v>
      </c>
      <c r="BF12" s="78">
        <v>269</v>
      </c>
      <c r="BG12" s="78">
        <v>585</v>
      </c>
      <c r="BH12" s="78">
        <v>278</v>
      </c>
      <c r="BI12" s="78">
        <v>307</v>
      </c>
      <c r="BJ12" s="78">
        <v>562</v>
      </c>
      <c r="BK12" s="78">
        <v>306</v>
      </c>
      <c r="BL12" s="78">
        <v>256</v>
      </c>
      <c r="BM12" s="78">
        <v>159</v>
      </c>
      <c r="BN12" s="78">
        <v>89</v>
      </c>
      <c r="BO12" s="78">
        <v>70</v>
      </c>
      <c r="BP12" s="78">
        <v>614</v>
      </c>
      <c r="BQ12" s="78">
        <v>310</v>
      </c>
      <c r="BR12" s="78">
        <v>304</v>
      </c>
      <c r="BS12" s="78">
        <v>425</v>
      </c>
      <c r="BT12" s="78">
        <v>213</v>
      </c>
      <c r="BU12" s="78">
        <v>212</v>
      </c>
      <c r="BV12" s="78">
        <v>652</v>
      </c>
      <c r="BW12" s="78">
        <v>321</v>
      </c>
      <c r="BX12" s="78">
        <v>331</v>
      </c>
      <c r="BY12" s="78">
        <v>536</v>
      </c>
      <c r="BZ12" s="78">
        <v>283</v>
      </c>
      <c r="CA12" s="78">
        <v>253</v>
      </c>
      <c r="CB12" s="78">
        <v>1212</v>
      </c>
      <c r="CC12" s="78">
        <v>617</v>
      </c>
      <c r="CD12" s="78">
        <v>595</v>
      </c>
      <c r="CE12" s="78">
        <v>815</v>
      </c>
      <c r="CF12" s="78">
        <v>441</v>
      </c>
      <c r="CG12" s="78">
        <v>374</v>
      </c>
      <c r="CH12" s="78">
        <v>1717</v>
      </c>
      <c r="CI12" s="78">
        <v>849</v>
      </c>
      <c r="CJ12" s="78">
        <v>868</v>
      </c>
      <c r="CK12" s="78">
        <v>936</v>
      </c>
      <c r="CL12" s="78">
        <v>452</v>
      </c>
      <c r="CM12" s="78">
        <v>484</v>
      </c>
      <c r="CN12" s="78">
        <v>794</v>
      </c>
      <c r="CO12" s="78">
        <v>412</v>
      </c>
      <c r="CP12" s="78">
        <v>382</v>
      </c>
      <c r="CQ12" s="78">
        <v>536</v>
      </c>
      <c r="CR12" s="78">
        <v>294</v>
      </c>
      <c r="CS12" s="78">
        <v>242</v>
      </c>
      <c r="CT12" s="78">
        <v>468</v>
      </c>
      <c r="CU12" s="78">
        <v>236</v>
      </c>
      <c r="CV12" s="78">
        <v>232</v>
      </c>
      <c r="CW12" s="78">
        <v>348</v>
      </c>
      <c r="CX12" s="78">
        <v>169</v>
      </c>
      <c r="CY12" s="78">
        <v>179</v>
      </c>
    </row>
    <row r="13" spans="1:103" ht="18.75" customHeight="1" x14ac:dyDescent="0.15">
      <c r="A13" s="87" t="s">
        <v>166</v>
      </c>
      <c r="B13" s="83">
        <v>3205</v>
      </c>
      <c r="C13" s="83">
        <v>1632</v>
      </c>
      <c r="D13" s="83">
        <v>1573</v>
      </c>
      <c r="E13" s="81">
        <v>1150</v>
      </c>
      <c r="F13" s="81">
        <v>557</v>
      </c>
      <c r="G13" s="81">
        <v>593</v>
      </c>
      <c r="H13" s="83">
        <v>109</v>
      </c>
      <c r="I13" s="84">
        <v>54</v>
      </c>
      <c r="J13" s="84">
        <v>55</v>
      </c>
      <c r="K13" s="83">
        <v>113</v>
      </c>
      <c r="L13" s="86">
        <v>56</v>
      </c>
      <c r="M13" s="86">
        <v>57</v>
      </c>
      <c r="N13" s="83">
        <v>50</v>
      </c>
      <c r="O13" s="81">
        <v>26</v>
      </c>
      <c r="P13" s="81">
        <v>24</v>
      </c>
      <c r="Q13" s="83">
        <v>14</v>
      </c>
      <c r="R13" s="82">
        <v>7</v>
      </c>
      <c r="S13" s="82">
        <v>7</v>
      </c>
      <c r="T13" s="83">
        <v>110</v>
      </c>
      <c r="U13" s="80">
        <v>57</v>
      </c>
      <c r="V13" s="80">
        <v>53</v>
      </c>
      <c r="W13" s="83">
        <v>159</v>
      </c>
      <c r="X13" s="84">
        <v>71</v>
      </c>
      <c r="Y13" s="84">
        <v>88</v>
      </c>
      <c r="Z13" s="83">
        <v>121</v>
      </c>
      <c r="AA13" s="84">
        <v>62</v>
      </c>
      <c r="AB13" s="84">
        <v>59</v>
      </c>
      <c r="AC13" s="83">
        <v>21</v>
      </c>
      <c r="AD13" s="81">
        <v>10</v>
      </c>
      <c r="AE13" s="81">
        <v>11</v>
      </c>
      <c r="AF13" s="83">
        <v>50</v>
      </c>
      <c r="AG13" s="80">
        <v>27</v>
      </c>
      <c r="AH13" s="80">
        <v>23</v>
      </c>
      <c r="AI13" s="83">
        <v>96</v>
      </c>
      <c r="AJ13" s="80">
        <v>44</v>
      </c>
      <c r="AK13" s="80">
        <v>52</v>
      </c>
      <c r="AL13" s="83">
        <v>98</v>
      </c>
      <c r="AM13" s="84">
        <v>41</v>
      </c>
      <c r="AN13" s="84">
        <v>57</v>
      </c>
      <c r="AO13" s="83">
        <v>51</v>
      </c>
      <c r="AP13" s="81">
        <v>22</v>
      </c>
      <c r="AQ13" s="81">
        <v>29</v>
      </c>
      <c r="AR13" s="83">
        <v>31</v>
      </c>
      <c r="AS13" s="80">
        <v>16</v>
      </c>
      <c r="AT13" s="80">
        <v>15</v>
      </c>
      <c r="AU13" s="83">
        <v>127</v>
      </c>
      <c r="AV13" s="84">
        <v>64</v>
      </c>
      <c r="AW13" s="84">
        <v>63</v>
      </c>
      <c r="AX13" s="81">
        <v>2055</v>
      </c>
      <c r="AY13" s="81">
        <v>1075</v>
      </c>
      <c r="AZ13" s="81">
        <v>980</v>
      </c>
      <c r="BA13" s="81">
        <v>241</v>
      </c>
      <c r="BB13" s="84">
        <v>130</v>
      </c>
      <c r="BC13" s="84">
        <v>111</v>
      </c>
      <c r="BD13" s="81">
        <v>108</v>
      </c>
      <c r="BE13" s="80">
        <v>61</v>
      </c>
      <c r="BF13" s="80">
        <v>47</v>
      </c>
      <c r="BG13" s="81">
        <v>125</v>
      </c>
      <c r="BH13" s="81">
        <v>60</v>
      </c>
      <c r="BI13" s="81">
        <v>65</v>
      </c>
      <c r="BJ13" s="81">
        <v>98</v>
      </c>
      <c r="BK13" s="80">
        <v>53</v>
      </c>
      <c r="BL13" s="80">
        <v>45</v>
      </c>
      <c r="BM13" s="81">
        <v>34</v>
      </c>
      <c r="BN13" s="81">
        <v>17</v>
      </c>
      <c r="BO13" s="81">
        <v>17</v>
      </c>
      <c r="BP13" s="81">
        <v>117</v>
      </c>
      <c r="BQ13" s="80">
        <v>53</v>
      </c>
      <c r="BR13" s="80">
        <v>64</v>
      </c>
      <c r="BS13" s="81">
        <v>75</v>
      </c>
      <c r="BT13" s="80">
        <v>42</v>
      </c>
      <c r="BU13" s="80">
        <v>33</v>
      </c>
      <c r="BV13" s="81">
        <v>114</v>
      </c>
      <c r="BW13" s="80">
        <v>66</v>
      </c>
      <c r="BX13" s="80">
        <v>48</v>
      </c>
      <c r="BY13" s="81">
        <v>97</v>
      </c>
      <c r="BZ13" s="85">
        <v>59</v>
      </c>
      <c r="CA13" s="85">
        <v>38</v>
      </c>
      <c r="CB13" s="81">
        <v>174</v>
      </c>
      <c r="CC13" s="80">
        <v>92</v>
      </c>
      <c r="CD13" s="80">
        <v>82</v>
      </c>
      <c r="CE13" s="81">
        <v>71</v>
      </c>
      <c r="CF13" s="80">
        <v>35</v>
      </c>
      <c r="CG13" s="80">
        <v>36</v>
      </c>
      <c r="CH13" s="81">
        <v>279</v>
      </c>
      <c r="CI13" s="80">
        <v>129</v>
      </c>
      <c r="CJ13" s="80">
        <v>150</v>
      </c>
      <c r="CK13" s="81">
        <v>180</v>
      </c>
      <c r="CL13" s="80">
        <v>94</v>
      </c>
      <c r="CM13" s="80">
        <v>86</v>
      </c>
      <c r="CN13" s="81">
        <v>157</v>
      </c>
      <c r="CO13" s="80">
        <v>88</v>
      </c>
      <c r="CP13" s="80">
        <v>69</v>
      </c>
      <c r="CQ13" s="81">
        <v>65</v>
      </c>
      <c r="CR13" s="80">
        <v>34</v>
      </c>
      <c r="CS13" s="80">
        <v>31</v>
      </c>
      <c r="CT13" s="81">
        <v>74</v>
      </c>
      <c r="CU13" s="80">
        <v>41</v>
      </c>
      <c r="CV13" s="80">
        <v>33</v>
      </c>
      <c r="CW13" s="81">
        <v>46</v>
      </c>
      <c r="CX13" s="80">
        <v>21</v>
      </c>
      <c r="CY13" s="80">
        <v>25</v>
      </c>
    </row>
    <row r="14" spans="1:103" ht="18.75" customHeight="1" x14ac:dyDescent="0.15">
      <c r="A14" s="87" t="s">
        <v>165</v>
      </c>
      <c r="B14" s="83">
        <v>3379</v>
      </c>
      <c r="C14" s="83">
        <v>1695</v>
      </c>
      <c r="D14" s="83">
        <v>1684</v>
      </c>
      <c r="E14" s="81">
        <v>1154</v>
      </c>
      <c r="F14" s="81">
        <v>569</v>
      </c>
      <c r="G14" s="81">
        <v>585</v>
      </c>
      <c r="H14" s="83">
        <v>113</v>
      </c>
      <c r="I14" s="84">
        <v>56</v>
      </c>
      <c r="J14" s="84">
        <v>57</v>
      </c>
      <c r="K14" s="83">
        <v>85</v>
      </c>
      <c r="L14" s="86">
        <v>38</v>
      </c>
      <c r="M14" s="86">
        <v>47</v>
      </c>
      <c r="N14" s="83">
        <v>45</v>
      </c>
      <c r="O14" s="81">
        <v>29</v>
      </c>
      <c r="P14" s="81">
        <v>16</v>
      </c>
      <c r="Q14" s="83">
        <v>10</v>
      </c>
      <c r="R14" s="82">
        <v>3</v>
      </c>
      <c r="S14" s="82">
        <v>7</v>
      </c>
      <c r="T14" s="83">
        <v>96</v>
      </c>
      <c r="U14" s="80">
        <v>45</v>
      </c>
      <c r="V14" s="80">
        <v>51</v>
      </c>
      <c r="W14" s="83">
        <v>154</v>
      </c>
      <c r="X14" s="84">
        <v>71</v>
      </c>
      <c r="Y14" s="84">
        <v>83</v>
      </c>
      <c r="Z14" s="83">
        <v>122</v>
      </c>
      <c r="AA14" s="84">
        <v>65</v>
      </c>
      <c r="AB14" s="84">
        <v>57</v>
      </c>
      <c r="AC14" s="83">
        <v>16</v>
      </c>
      <c r="AD14" s="81">
        <v>7</v>
      </c>
      <c r="AE14" s="81">
        <v>9</v>
      </c>
      <c r="AF14" s="83">
        <v>56</v>
      </c>
      <c r="AG14" s="80">
        <v>22</v>
      </c>
      <c r="AH14" s="80">
        <v>34</v>
      </c>
      <c r="AI14" s="83">
        <v>98</v>
      </c>
      <c r="AJ14" s="80">
        <v>55</v>
      </c>
      <c r="AK14" s="80">
        <v>43</v>
      </c>
      <c r="AL14" s="83">
        <v>122</v>
      </c>
      <c r="AM14" s="84">
        <v>60</v>
      </c>
      <c r="AN14" s="84">
        <v>62</v>
      </c>
      <c r="AO14" s="83">
        <v>47</v>
      </c>
      <c r="AP14" s="81">
        <v>22</v>
      </c>
      <c r="AQ14" s="81">
        <v>25</v>
      </c>
      <c r="AR14" s="83">
        <v>46</v>
      </c>
      <c r="AS14" s="80">
        <v>23</v>
      </c>
      <c r="AT14" s="80">
        <v>23</v>
      </c>
      <c r="AU14" s="83">
        <v>144</v>
      </c>
      <c r="AV14" s="84">
        <v>73</v>
      </c>
      <c r="AW14" s="84">
        <v>71</v>
      </c>
      <c r="AX14" s="81">
        <v>2225</v>
      </c>
      <c r="AY14" s="81">
        <v>1126</v>
      </c>
      <c r="AZ14" s="81">
        <v>1099</v>
      </c>
      <c r="BA14" s="81">
        <v>247</v>
      </c>
      <c r="BB14" s="84">
        <v>125</v>
      </c>
      <c r="BC14" s="84">
        <v>122</v>
      </c>
      <c r="BD14" s="81">
        <v>110</v>
      </c>
      <c r="BE14" s="80">
        <v>62</v>
      </c>
      <c r="BF14" s="80">
        <v>48</v>
      </c>
      <c r="BG14" s="81">
        <v>121</v>
      </c>
      <c r="BH14" s="81">
        <v>56</v>
      </c>
      <c r="BI14" s="81">
        <v>65</v>
      </c>
      <c r="BJ14" s="81">
        <v>117</v>
      </c>
      <c r="BK14" s="80">
        <v>62</v>
      </c>
      <c r="BL14" s="80">
        <v>55</v>
      </c>
      <c r="BM14" s="81">
        <v>21</v>
      </c>
      <c r="BN14" s="81">
        <v>15</v>
      </c>
      <c r="BO14" s="81">
        <v>6</v>
      </c>
      <c r="BP14" s="81">
        <v>111</v>
      </c>
      <c r="BQ14" s="80">
        <v>58</v>
      </c>
      <c r="BR14" s="80">
        <v>53</v>
      </c>
      <c r="BS14" s="81">
        <v>69</v>
      </c>
      <c r="BT14" s="80">
        <v>35</v>
      </c>
      <c r="BU14" s="80">
        <v>34</v>
      </c>
      <c r="BV14" s="81">
        <v>124</v>
      </c>
      <c r="BW14" s="80">
        <v>64</v>
      </c>
      <c r="BX14" s="80">
        <v>60</v>
      </c>
      <c r="BY14" s="81">
        <v>99</v>
      </c>
      <c r="BZ14" s="85">
        <v>60</v>
      </c>
      <c r="CA14" s="85">
        <v>39</v>
      </c>
      <c r="CB14" s="81">
        <v>193</v>
      </c>
      <c r="CC14" s="80">
        <v>96</v>
      </c>
      <c r="CD14" s="80">
        <v>97</v>
      </c>
      <c r="CE14" s="81">
        <v>151</v>
      </c>
      <c r="CF14" s="80">
        <v>83</v>
      </c>
      <c r="CG14" s="80">
        <v>68</v>
      </c>
      <c r="CH14" s="81">
        <v>300</v>
      </c>
      <c r="CI14" s="80">
        <v>143</v>
      </c>
      <c r="CJ14" s="80">
        <v>157</v>
      </c>
      <c r="CK14" s="81">
        <v>190</v>
      </c>
      <c r="CL14" s="80">
        <v>82</v>
      </c>
      <c r="CM14" s="80">
        <v>108</v>
      </c>
      <c r="CN14" s="81">
        <v>142</v>
      </c>
      <c r="CO14" s="80">
        <v>68</v>
      </c>
      <c r="CP14" s="80">
        <v>74</v>
      </c>
      <c r="CQ14" s="81">
        <v>79</v>
      </c>
      <c r="CR14" s="80">
        <v>45</v>
      </c>
      <c r="CS14" s="80">
        <v>34</v>
      </c>
      <c r="CT14" s="81">
        <v>83</v>
      </c>
      <c r="CU14" s="80">
        <v>39</v>
      </c>
      <c r="CV14" s="80">
        <v>44</v>
      </c>
      <c r="CW14" s="81">
        <v>68</v>
      </c>
      <c r="CX14" s="80">
        <v>33</v>
      </c>
      <c r="CY14" s="80">
        <v>35</v>
      </c>
    </row>
    <row r="15" spans="1:103" ht="18.75" customHeight="1" x14ac:dyDescent="0.15">
      <c r="A15" s="87" t="s">
        <v>164</v>
      </c>
      <c r="B15" s="83">
        <v>3634</v>
      </c>
      <c r="C15" s="83">
        <v>1858</v>
      </c>
      <c r="D15" s="83">
        <v>1776</v>
      </c>
      <c r="E15" s="81">
        <v>1199</v>
      </c>
      <c r="F15" s="81">
        <v>604</v>
      </c>
      <c r="G15" s="81">
        <v>595</v>
      </c>
      <c r="H15" s="83">
        <v>95</v>
      </c>
      <c r="I15" s="84">
        <v>46</v>
      </c>
      <c r="J15" s="84">
        <v>49</v>
      </c>
      <c r="K15" s="83">
        <v>100</v>
      </c>
      <c r="L15" s="86">
        <v>49</v>
      </c>
      <c r="M15" s="86">
        <v>51</v>
      </c>
      <c r="N15" s="83">
        <v>45</v>
      </c>
      <c r="O15" s="81">
        <v>24</v>
      </c>
      <c r="P15" s="81">
        <v>21</v>
      </c>
      <c r="Q15" s="83">
        <v>7</v>
      </c>
      <c r="R15" s="82">
        <v>3</v>
      </c>
      <c r="S15" s="82">
        <v>4</v>
      </c>
      <c r="T15" s="83">
        <v>85</v>
      </c>
      <c r="U15" s="80">
        <v>44</v>
      </c>
      <c r="V15" s="80">
        <v>41</v>
      </c>
      <c r="W15" s="83">
        <v>138</v>
      </c>
      <c r="X15" s="84">
        <v>73</v>
      </c>
      <c r="Y15" s="84">
        <v>65</v>
      </c>
      <c r="Z15" s="83">
        <v>155</v>
      </c>
      <c r="AA15" s="84">
        <v>76</v>
      </c>
      <c r="AB15" s="84">
        <v>79</v>
      </c>
      <c r="AC15" s="83">
        <v>27</v>
      </c>
      <c r="AD15" s="81">
        <v>15</v>
      </c>
      <c r="AE15" s="81">
        <v>12</v>
      </c>
      <c r="AF15" s="83">
        <v>57</v>
      </c>
      <c r="AG15" s="80">
        <v>30</v>
      </c>
      <c r="AH15" s="80">
        <v>27</v>
      </c>
      <c r="AI15" s="83">
        <v>104</v>
      </c>
      <c r="AJ15" s="80">
        <v>57</v>
      </c>
      <c r="AK15" s="80">
        <v>47</v>
      </c>
      <c r="AL15" s="83">
        <v>138</v>
      </c>
      <c r="AM15" s="84">
        <v>71</v>
      </c>
      <c r="AN15" s="84">
        <v>67</v>
      </c>
      <c r="AO15" s="83">
        <v>58</v>
      </c>
      <c r="AP15" s="81">
        <v>26</v>
      </c>
      <c r="AQ15" s="81">
        <v>32</v>
      </c>
      <c r="AR15" s="83">
        <v>33</v>
      </c>
      <c r="AS15" s="80">
        <v>15</v>
      </c>
      <c r="AT15" s="80">
        <v>18</v>
      </c>
      <c r="AU15" s="83">
        <v>157</v>
      </c>
      <c r="AV15" s="84">
        <v>75</v>
      </c>
      <c r="AW15" s="84">
        <v>82</v>
      </c>
      <c r="AX15" s="81">
        <v>2435</v>
      </c>
      <c r="AY15" s="81">
        <v>1254</v>
      </c>
      <c r="AZ15" s="81">
        <v>1181</v>
      </c>
      <c r="BA15" s="81">
        <v>249</v>
      </c>
      <c r="BB15" s="84">
        <v>120</v>
      </c>
      <c r="BC15" s="84">
        <v>129</v>
      </c>
      <c r="BD15" s="81">
        <v>103</v>
      </c>
      <c r="BE15" s="80">
        <v>60</v>
      </c>
      <c r="BF15" s="80">
        <v>43</v>
      </c>
      <c r="BG15" s="81">
        <v>116</v>
      </c>
      <c r="BH15" s="81">
        <v>55</v>
      </c>
      <c r="BI15" s="81">
        <v>61</v>
      </c>
      <c r="BJ15" s="81">
        <v>101</v>
      </c>
      <c r="BK15" s="80">
        <v>60</v>
      </c>
      <c r="BL15" s="80">
        <v>41</v>
      </c>
      <c r="BM15" s="81">
        <v>31</v>
      </c>
      <c r="BN15" s="81">
        <v>17</v>
      </c>
      <c r="BO15" s="81">
        <v>14</v>
      </c>
      <c r="BP15" s="81">
        <v>126</v>
      </c>
      <c r="BQ15" s="80">
        <v>59</v>
      </c>
      <c r="BR15" s="80">
        <v>67</v>
      </c>
      <c r="BS15" s="81">
        <v>86</v>
      </c>
      <c r="BT15" s="80">
        <v>39</v>
      </c>
      <c r="BU15" s="80">
        <v>47</v>
      </c>
      <c r="BV15" s="81">
        <v>135</v>
      </c>
      <c r="BW15" s="80">
        <v>68</v>
      </c>
      <c r="BX15" s="80">
        <v>67</v>
      </c>
      <c r="BY15" s="81">
        <v>100</v>
      </c>
      <c r="BZ15" s="85">
        <v>48</v>
      </c>
      <c r="CA15" s="85">
        <v>52</v>
      </c>
      <c r="CB15" s="81">
        <v>248</v>
      </c>
      <c r="CC15" s="80">
        <v>125</v>
      </c>
      <c r="CD15" s="80">
        <v>123</v>
      </c>
      <c r="CE15" s="81">
        <v>170</v>
      </c>
      <c r="CF15" s="80">
        <v>97</v>
      </c>
      <c r="CG15" s="80">
        <v>73</v>
      </c>
      <c r="CH15" s="81">
        <v>381</v>
      </c>
      <c r="CI15" s="80">
        <v>188</v>
      </c>
      <c r="CJ15" s="80">
        <v>193</v>
      </c>
      <c r="CK15" s="81">
        <v>178</v>
      </c>
      <c r="CL15" s="80">
        <v>95</v>
      </c>
      <c r="CM15" s="80">
        <v>83</v>
      </c>
      <c r="CN15" s="81">
        <v>156</v>
      </c>
      <c r="CO15" s="80">
        <v>91</v>
      </c>
      <c r="CP15" s="80">
        <v>65</v>
      </c>
      <c r="CQ15" s="81">
        <v>100</v>
      </c>
      <c r="CR15" s="80">
        <v>54</v>
      </c>
      <c r="CS15" s="80">
        <v>46</v>
      </c>
      <c r="CT15" s="81">
        <v>85</v>
      </c>
      <c r="CU15" s="80">
        <v>46</v>
      </c>
      <c r="CV15" s="80">
        <v>39</v>
      </c>
      <c r="CW15" s="81">
        <v>70</v>
      </c>
      <c r="CX15" s="80">
        <v>32</v>
      </c>
      <c r="CY15" s="80">
        <v>38</v>
      </c>
    </row>
    <row r="16" spans="1:103" ht="18.75" customHeight="1" x14ac:dyDescent="0.15">
      <c r="A16" s="87" t="s">
        <v>163</v>
      </c>
      <c r="B16" s="83">
        <v>3810</v>
      </c>
      <c r="C16" s="83">
        <v>1921</v>
      </c>
      <c r="D16" s="83">
        <v>1889</v>
      </c>
      <c r="E16" s="81">
        <v>1261</v>
      </c>
      <c r="F16" s="81">
        <v>632</v>
      </c>
      <c r="G16" s="81">
        <v>629</v>
      </c>
      <c r="H16" s="83">
        <v>103</v>
      </c>
      <c r="I16" s="84">
        <v>54</v>
      </c>
      <c r="J16" s="84">
        <v>49</v>
      </c>
      <c r="K16" s="83">
        <v>112</v>
      </c>
      <c r="L16" s="86">
        <v>60</v>
      </c>
      <c r="M16" s="86">
        <v>52</v>
      </c>
      <c r="N16" s="83">
        <v>55</v>
      </c>
      <c r="O16" s="81">
        <v>30</v>
      </c>
      <c r="P16" s="81">
        <v>25</v>
      </c>
      <c r="Q16" s="83">
        <v>16</v>
      </c>
      <c r="R16" s="82">
        <v>10</v>
      </c>
      <c r="S16" s="82">
        <v>6</v>
      </c>
      <c r="T16" s="83">
        <v>64</v>
      </c>
      <c r="U16" s="80">
        <v>26</v>
      </c>
      <c r="V16" s="80">
        <v>38</v>
      </c>
      <c r="W16" s="83">
        <v>158</v>
      </c>
      <c r="X16" s="84">
        <v>80</v>
      </c>
      <c r="Y16" s="84">
        <v>78</v>
      </c>
      <c r="Z16" s="83">
        <v>131</v>
      </c>
      <c r="AA16" s="84">
        <v>54</v>
      </c>
      <c r="AB16" s="84">
        <v>77</v>
      </c>
      <c r="AC16" s="83">
        <v>15</v>
      </c>
      <c r="AD16" s="81">
        <v>9</v>
      </c>
      <c r="AE16" s="81">
        <v>6</v>
      </c>
      <c r="AF16" s="83">
        <v>66</v>
      </c>
      <c r="AG16" s="80">
        <v>34</v>
      </c>
      <c r="AH16" s="80">
        <v>32</v>
      </c>
      <c r="AI16" s="83">
        <v>94</v>
      </c>
      <c r="AJ16" s="80">
        <v>49</v>
      </c>
      <c r="AK16" s="80">
        <v>45</v>
      </c>
      <c r="AL16" s="83">
        <v>160</v>
      </c>
      <c r="AM16" s="84">
        <v>81</v>
      </c>
      <c r="AN16" s="84">
        <v>79</v>
      </c>
      <c r="AO16" s="83">
        <v>55</v>
      </c>
      <c r="AP16" s="81">
        <v>28</v>
      </c>
      <c r="AQ16" s="81">
        <v>27</v>
      </c>
      <c r="AR16" s="83">
        <v>47</v>
      </c>
      <c r="AS16" s="80">
        <v>22</v>
      </c>
      <c r="AT16" s="80">
        <v>25</v>
      </c>
      <c r="AU16" s="83">
        <v>185</v>
      </c>
      <c r="AV16" s="84">
        <v>95</v>
      </c>
      <c r="AW16" s="84">
        <v>90</v>
      </c>
      <c r="AX16" s="81">
        <v>2549</v>
      </c>
      <c r="AY16" s="81">
        <v>1289</v>
      </c>
      <c r="AZ16" s="81">
        <v>1260</v>
      </c>
      <c r="BA16" s="81">
        <v>252</v>
      </c>
      <c r="BB16" s="84">
        <v>132</v>
      </c>
      <c r="BC16" s="84">
        <v>120</v>
      </c>
      <c r="BD16" s="81">
        <v>128</v>
      </c>
      <c r="BE16" s="80">
        <v>64</v>
      </c>
      <c r="BF16" s="80">
        <v>64</v>
      </c>
      <c r="BG16" s="81">
        <v>114</v>
      </c>
      <c r="BH16" s="81">
        <v>60</v>
      </c>
      <c r="BI16" s="81">
        <v>54</v>
      </c>
      <c r="BJ16" s="81">
        <v>101</v>
      </c>
      <c r="BK16" s="80">
        <v>52</v>
      </c>
      <c r="BL16" s="80">
        <v>49</v>
      </c>
      <c r="BM16" s="81">
        <v>42</v>
      </c>
      <c r="BN16" s="81">
        <v>20</v>
      </c>
      <c r="BO16" s="81">
        <v>22</v>
      </c>
      <c r="BP16" s="81">
        <v>123</v>
      </c>
      <c r="BQ16" s="80">
        <v>63</v>
      </c>
      <c r="BR16" s="80">
        <v>60</v>
      </c>
      <c r="BS16" s="81">
        <v>98</v>
      </c>
      <c r="BT16" s="80">
        <v>49</v>
      </c>
      <c r="BU16" s="80">
        <v>49</v>
      </c>
      <c r="BV16" s="81">
        <v>129</v>
      </c>
      <c r="BW16" s="80">
        <v>59</v>
      </c>
      <c r="BX16" s="80">
        <v>70</v>
      </c>
      <c r="BY16" s="81">
        <v>112</v>
      </c>
      <c r="BZ16" s="85">
        <v>47</v>
      </c>
      <c r="CA16" s="85">
        <v>65</v>
      </c>
      <c r="CB16" s="81">
        <v>262</v>
      </c>
      <c r="CC16" s="80">
        <v>134</v>
      </c>
      <c r="CD16" s="80">
        <v>128</v>
      </c>
      <c r="CE16" s="81">
        <v>184</v>
      </c>
      <c r="CF16" s="80">
        <v>97</v>
      </c>
      <c r="CG16" s="80">
        <v>87</v>
      </c>
      <c r="CH16" s="81">
        <v>362</v>
      </c>
      <c r="CI16" s="80">
        <v>191</v>
      </c>
      <c r="CJ16" s="80">
        <v>171</v>
      </c>
      <c r="CK16" s="81">
        <v>175</v>
      </c>
      <c r="CL16" s="80">
        <v>86</v>
      </c>
      <c r="CM16" s="80">
        <v>89</v>
      </c>
      <c r="CN16" s="81">
        <v>163</v>
      </c>
      <c r="CO16" s="80">
        <v>74</v>
      </c>
      <c r="CP16" s="80">
        <v>89</v>
      </c>
      <c r="CQ16" s="81">
        <v>124</v>
      </c>
      <c r="CR16" s="80">
        <v>64</v>
      </c>
      <c r="CS16" s="80">
        <v>60</v>
      </c>
      <c r="CT16" s="81">
        <v>114</v>
      </c>
      <c r="CU16" s="80">
        <v>62</v>
      </c>
      <c r="CV16" s="80">
        <v>52</v>
      </c>
      <c r="CW16" s="81">
        <v>66</v>
      </c>
      <c r="CX16" s="80">
        <v>35</v>
      </c>
      <c r="CY16" s="80">
        <v>31</v>
      </c>
    </row>
    <row r="17" spans="1:103" ht="18.75" customHeight="1" x14ac:dyDescent="0.15">
      <c r="A17" s="87" t="s">
        <v>162</v>
      </c>
      <c r="B17" s="83">
        <v>4336</v>
      </c>
      <c r="C17" s="83">
        <v>2206</v>
      </c>
      <c r="D17" s="83">
        <v>2130</v>
      </c>
      <c r="E17" s="81">
        <v>1399</v>
      </c>
      <c r="F17" s="81">
        <v>725</v>
      </c>
      <c r="G17" s="81">
        <v>674</v>
      </c>
      <c r="H17" s="83">
        <v>98</v>
      </c>
      <c r="I17" s="84">
        <v>52</v>
      </c>
      <c r="J17" s="84">
        <v>46</v>
      </c>
      <c r="K17" s="83">
        <v>114</v>
      </c>
      <c r="L17" s="86">
        <v>63</v>
      </c>
      <c r="M17" s="86">
        <v>51</v>
      </c>
      <c r="N17" s="83">
        <v>78</v>
      </c>
      <c r="O17" s="81">
        <v>45</v>
      </c>
      <c r="P17" s="81">
        <v>33</v>
      </c>
      <c r="Q17" s="83">
        <v>24</v>
      </c>
      <c r="R17" s="82">
        <v>14</v>
      </c>
      <c r="S17" s="82">
        <v>10</v>
      </c>
      <c r="T17" s="83">
        <v>69</v>
      </c>
      <c r="U17" s="80">
        <v>35</v>
      </c>
      <c r="V17" s="80">
        <v>34</v>
      </c>
      <c r="W17" s="83">
        <v>157</v>
      </c>
      <c r="X17" s="84">
        <v>84</v>
      </c>
      <c r="Y17" s="84">
        <v>73</v>
      </c>
      <c r="Z17" s="83">
        <v>128</v>
      </c>
      <c r="AA17" s="84">
        <v>65</v>
      </c>
      <c r="AB17" s="84">
        <v>63</v>
      </c>
      <c r="AC17" s="83">
        <v>31</v>
      </c>
      <c r="AD17" s="81">
        <v>14</v>
      </c>
      <c r="AE17" s="81">
        <v>17</v>
      </c>
      <c r="AF17" s="83">
        <v>92</v>
      </c>
      <c r="AG17" s="80">
        <v>43</v>
      </c>
      <c r="AH17" s="80">
        <v>49</v>
      </c>
      <c r="AI17" s="83">
        <v>124</v>
      </c>
      <c r="AJ17" s="80">
        <v>75</v>
      </c>
      <c r="AK17" s="80">
        <v>49</v>
      </c>
      <c r="AL17" s="83">
        <v>173</v>
      </c>
      <c r="AM17" s="84">
        <v>80</v>
      </c>
      <c r="AN17" s="84">
        <v>93</v>
      </c>
      <c r="AO17" s="83">
        <v>65</v>
      </c>
      <c r="AP17" s="81">
        <v>33</v>
      </c>
      <c r="AQ17" s="81">
        <v>32</v>
      </c>
      <c r="AR17" s="83">
        <v>63</v>
      </c>
      <c r="AS17" s="80">
        <v>30</v>
      </c>
      <c r="AT17" s="80">
        <v>33</v>
      </c>
      <c r="AU17" s="83">
        <v>183</v>
      </c>
      <c r="AV17" s="84">
        <v>92</v>
      </c>
      <c r="AW17" s="84">
        <v>91</v>
      </c>
      <c r="AX17" s="81">
        <v>2937</v>
      </c>
      <c r="AY17" s="81">
        <v>1481</v>
      </c>
      <c r="AZ17" s="81">
        <v>1456</v>
      </c>
      <c r="BA17" s="81">
        <v>267</v>
      </c>
      <c r="BB17" s="84">
        <v>131</v>
      </c>
      <c r="BC17" s="84">
        <v>136</v>
      </c>
      <c r="BD17" s="81">
        <v>137</v>
      </c>
      <c r="BE17" s="80">
        <v>70</v>
      </c>
      <c r="BF17" s="80">
        <v>67</v>
      </c>
      <c r="BG17" s="81">
        <v>109</v>
      </c>
      <c r="BH17" s="81">
        <v>47</v>
      </c>
      <c r="BI17" s="81">
        <v>62</v>
      </c>
      <c r="BJ17" s="81">
        <v>145</v>
      </c>
      <c r="BK17" s="80">
        <v>79</v>
      </c>
      <c r="BL17" s="80">
        <v>66</v>
      </c>
      <c r="BM17" s="81">
        <v>31</v>
      </c>
      <c r="BN17" s="81">
        <v>20</v>
      </c>
      <c r="BO17" s="81">
        <v>11</v>
      </c>
      <c r="BP17" s="81">
        <v>137</v>
      </c>
      <c r="BQ17" s="80">
        <v>77</v>
      </c>
      <c r="BR17" s="80">
        <v>60</v>
      </c>
      <c r="BS17" s="81">
        <v>97</v>
      </c>
      <c r="BT17" s="80">
        <v>48</v>
      </c>
      <c r="BU17" s="80">
        <v>49</v>
      </c>
      <c r="BV17" s="81">
        <v>150</v>
      </c>
      <c r="BW17" s="80">
        <v>64</v>
      </c>
      <c r="BX17" s="80">
        <v>86</v>
      </c>
      <c r="BY17" s="81">
        <v>128</v>
      </c>
      <c r="BZ17" s="85">
        <v>69</v>
      </c>
      <c r="CA17" s="85">
        <v>59</v>
      </c>
      <c r="CB17" s="81">
        <v>335</v>
      </c>
      <c r="CC17" s="80">
        <v>170</v>
      </c>
      <c r="CD17" s="80">
        <v>165</v>
      </c>
      <c r="CE17" s="81">
        <v>239</v>
      </c>
      <c r="CF17" s="80">
        <v>129</v>
      </c>
      <c r="CG17" s="80">
        <v>110</v>
      </c>
      <c r="CH17" s="81">
        <v>395</v>
      </c>
      <c r="CI17" s="80">
        <v>198</v>
      </c>
      <c r="CJ17" s="80">
        <v>197</v>
      </c>
      <c r="CK17" s="81">
        <v>213</v>
      </c>
      <c r="CL17" s="80">
        <v>95</v>
      </c>
      <c r="CM17" s="80">
        <v>118</v>
      </c>
      <c r="CN17" s="81">
        <v>176</v>
      </c>
      <c r="CO17" s="80">
        <v>91</v>
      </c>
      <c r="CP17" s="80">
        <v>85</v>
      </c>
      <c r="CQ17" s="81">
        <v>168</v>
      </c>
      <c r="CR17" s="80">
        <v>97</v>
      </c>
      <c r="CS17" s="80">
        <v>71</v>
      </c>
      <c r="CT17" s="81">
        <v>112</v>
      </c>
      <c r="CU17" s="80">
        <v>48</v>
      </c>
      <c r="CV17" s="80">
        <v>64</v>
      </c>
      <c r="CW17" s="81">
        <v>98</v>
      </c>
      <c r="CX17" s="80">
        <v>48</v>
      </c>
      <c r="CY17" s="80">
        <v>50</v>
      </c>
    </row>
    <row r="18" spans="1:103" ht="18.75" customHeight="1" x14ac:dyDescent="0.15">
      <c r="A18" s="57" t="s">
        <v>198</v>
      </c>
      <c r="B18" s="78">
        <v>24075</v>
      </c>
      <c r="C18" s="78">
        <v>12282</v>
      </c>
      <c r="D18" s="78">
        <v>11793</v>
      </c>
      <c r="E18" s="78">
        <v>7492</v>
      </c>
      <c r="F18" s="78">
        <v>3855</v>
      </c>
      <c r="G18" s="78">
        <v>3637</v>
      </c>
      <c r="H18" s="78">
        <v>509</v>
      </c>
      <c r="I18" s="78">
        <v>261</v>
      </c>
      <c r="J18" s="78">
        <v>248</v>
      </c>
      <c r="K18" s="78">
        <v>632</v>
      </c>
      <c r="L18" s="78">
        <v>311</v>
      </c>
      <c r="M18" s="78">
        <v>321</v>
      </c>
      <c r="N18" s="78">
        <v>385</v>
      </c>
      <c r="O18" s="78">
        <v>199</v>
      </c>
      <c r="P18" s="78">
        <v>186</v>
      </c>
      <c r="Q18" s="78">
        <v>142</v>
      </c>
      <c r="R18" s="78">
        <v>66</v>
      </c>
      <c r="S18" s="78">
        <v>76</v>
      </c>
      <c r="T18" s="78">
        <v>418</v>
      </c>
      <c r="U18" s="78">
        <v>229</v>
      </c>
      <c r="V18" s="78">
        <v>189</v>
      </c>
      <c r="W18" s="78">
        <v>674</v>
      </c>
      <c r="X18" s="78">
        <v>353</v>
      </c>
      <c r="Y18" s="78">
        <v>321</v>
      </c>
      <c r="Z18" s="78">
        <v>688</v>
      </c>
      <c r="AA18" s="78">
        <v>348</v>
      </c>
      <c r="AB18" s="78">
        <v>340</v>
      </c>
      <c r="AC18" s="78">
        <v>194</v>
      </c>
      <c r="AD18" s="78">
        <v>108</v>
      </c>
      <c r="AE18" s="78">
        <v>86</v>
      </c>
      <c r="AF18" s="78">
        <v>479</v>
      </c>
      <c r="AG18" s="78">
        <v>248</v>
      </c>
      <c r="AH18" s="78">
        <v>231</v>
      </c>
      <c r="AI18" s="78">
        <v>607</v>
      </c>
      <c r="AJ18" s="78">
        <v>302</v>
      </c>
      <c r="AK18" s="78">
        <v>305</v>
      </c>
      <c r="AL18" s="78">
        <v>967</v>
      </c>
      <c r="AM18" s="78">
        <v>518</v>
      </c>
      <c r="AN18" s="78">
        <v>449</v>
      </c>
      <c r="AO18" s="78">
        <v>412</v>
      </c>
      <c r="AP18" s="78">
        <v>215</v>
      </c>
      <c r="AQ18" s="78">
        <v>197</v>
      </c>
      <c r="AR18" s="78">
        <v>354</v>
      </c>
      <c r="AS18" s="78">
        <v>162</v>
      </c>
      <c r="AT18" s="78">
        <v>192</v>
      </c>
      <c r="AU18" s="78">
        <v>1031</v>
      </c>
      <c r="AV18" s="78">
        <v>535</v>
      </c>
      <c r="AW18" s="78">
        <v>496</v>
      </c>
      <c r="AX18" s="78">
        <v>16583</v>
      </c>
      <c r="AY18" s="78">
        <v>8427</v>
      </c>
      <c r="AZ18" s="78">
        <v>8156</v>
      </c>
      <c r="BA18" s="78">
        <v>1201</v>
      </c>
      <c r="BB18" s="78">
        <v>612</v>
      </c>
      <c r="BC18" s="78">
        <v>589</v>
      </c>
      <c r="BD18" s="78">
        <v>566</v>
      </c>
      <c r="BE18" s="78">
        <v>276</v>
      </c>
      <c r="BF18" s="78">
        <v>290</v>
      </c>
      <c r="BG18" s="78">
        <v>578</v>
      </c>
      <c r="BH18" s="78">
        <v>289</v>
      </c>
      <c r="BI18" s="78">
        <v>289</v>
      </c>
      <c r="BJ18" s="78">
        <v>828</v>
      </c>
      <c r="BK18" s="78">
        <v>437</v>
      </c>
      <c r="BL18" s="78">
        <v>391</v>
      </c>
      <c r="BM18" s="78">
        <v>194</v>
      </c>
      <c r="BN18" s="78">
        <v>99</v>
      </c>
      <c r="BO18" s="78">
        <v>95</v>
      </c>
      <c r="BP18" s="78">
        <v>843</v>
      </c>
      <c r="BQ18" s="78">
        <v>455</v>
      </c>
      <c r="BR18" s="78">
        <v>388</v>
      </c>
      <c r="BS18" s="78">
        <v>543</v>
      </c>
      <c r="BT18" s="78">
        <v>279</v>
      </c>
      <c r="BU18" s="78">
        <v>264</v>
      </c>
      <c r="BV18" s="78">
        <v>1004</v>
      </c>
      <c r="BW18" s="78">
        <v>509</v>
      </c>
      <c r="BX18" s="78">
        <v>495</v>
      </c>
      <c r="BY18" s="78">
        <v>744</v>
      </c>
      <c r="BZ18" s="78">
        <v>358</v>
      </c>
      <c r="CA18" s="78">
        <v>386</v>
      </c>
      <c r="CB18" s="78">
        <v>1797</v>
      </c>
      <c r="CC18" s="78">
        <v>904</v>
      </c>
      <c r="CD18" s="78">
        <v>893</v>
      </c>
      <c r="CE18" s="78">
        <v>1895</v>
      </c>
      <c r="CF18" s="78">
        <v>1021</v>
      </c>
      <c r="CG18" s="78">
        <v>874</v>
      </c>
      <c r="CH18" s="78">
        <v>1787</v>
      </c>
      <c r="CI18" s="78">
        <v>928</v>
      </c>
      <c r="CJ18" s="78">
        <v>859</v>
      </c>
      <c r="CK18" s="78">
        <v>1186</v>
      </c>
      <c r="CL18" s="78">
        <v>583</v>
      </c>
      <c r="CM18" s="78">
        <v>603</v>
      </c>
      <c r="CN18" s="78">
        <v>921</v>
      </c>
      <c r="CO18" s="78">
        <v>472</v>
      </c>
      <c r="CP18" s="78">
        <v>449</v>
      </c>
      <c r="CQ18" s="78">
        <v>1027</v>
      </c>
      <c r="CR18" s="78">
        <v>520</v>
      </c>
      <c r="CS18" s="78">
        <v>507</v>
      </c>
      <c r="CT18" s="78">
        <v>683</v>
      </c>
      <c r="CU18" s="78">
        <v>344</v>
      </c>
      <c r="CV18" s="78">
        <v>339</v>
      </c>
      <c r="CW18" s="78">
        <v>786</v>
      </c>
      <c r="CX18" s="78">
        <v>341</v>
      </c>
      <c r="CY18" s="78">
        <v>445</v>
      </c>
    </row>
    <row r="19" spans="1:103" ht="18.75" customHeight="1" x14ac:dyDescent="0.15">
      <c r="A19" s="87" t="s">
        <v>160</v>
      </c>
      <c r="B19" s="83">
        <v>4788</v>
      </c>
      <c r="C19" s="83">
        <v>2379</v>
      </c>
      <c r="D19" s="83">
        <v>2409</v>
      </c>
      <c r="E19" s="81">
        <v>1483</v>
      </c>
      <c r="F19" s="81">
        <v>730</v>
      </c>
      <c r="G19" s="81">
        <v>753</v>
      </c>
      <c r="H19" s="83">
        <v>130</v>
      </c>
      <c r="I19" s="84">
        <v>60</v>
      </c>
      <c r="J19" s="84">
        <v>70</v>
      </c>
      <c r="K19" s="83">
        <v>120</v>
      </c>
      <c r="L19" s="86">
        <v>59</v>
      </c>
      <c r="M19" s="86">
        <v>61</v>
      </c>
      <c r="N19" s="83">
        <v>59</v>
      </c>
      <c r="O19" s="81">
        <v>26</v>
      </c>
      <c r="P19" s="81">
        <v>33</v>
      </c>
      <c r="Q19" s="83">
        <v>26</v>
      </c>
      <c r="R19" s="82">
        <v>15</v>
      </c>
      <c r="S19" s="82">
        <v>11</v>
      </c>
      <c r="T19" s="83">
        <v>82</v>
      </c>
      <c r="U19" s="80">
        <v>42</v>
      </c>
      <c r="V19" s="80">
        <v>40</v>
      </c>
      <c r="W19" s="83">
        <v>152</v>
      </c>
      <c r="X19" s="84">
        <v>75</v>
      </c>
      <c r="Y19" s="84">
        <v>77</v>
      </c>
      <c r="Z19" s="83">
        <v>165</v>
      </c>
      <c r="AA19" s="84">
        <v>89</v>
      </c>
      <c r="AB19" s="84">
        <v>76</v>
      </c>
      <c r="AC19" s="83">
        <v>39</v>
      </c>
      <c r="AD19" s="81">
        <v>20</v>
      </c>
      <c r="AE19" s="81">
        <v>19</v>
      </c>
      <c r="AF19" s="83">
        <v>90</v>
      </c>
      <c r="AG19" s="80">
        <v>43</v>
      </c>
      <c r="AH19" s="80">
        <v>47</v>
      </c>
      <c r="AI19" s="83">
        <v>117</v>
      </c>
      <c r="AJ19" s="80">
        <v>56</v>
      </c>
      <c r="AK19" s="80">
        <v>61</v>
      </c>
      <c r="AL19" s="83">
        <v>169</v>
      </c>
      <c r="AM19" s="84">
        <v>80</v>
      </c>
      <c r="AN19" s="84">
        <v>89</v>
      </c>
      <c r="AO19" s="83">
        <v>70</v>
      </c>
      <c r="AP19" s="81">
        <v>27</v>
      </c>
      <c r="AQ19" s="81">
        <v>43</v>
      </c>
      <c r="AR19" s="83">
        <v>57</v>
      </c>
      <c r="AS19" s="80">
        <v>26</v>
      </c>
      <c r="AT19" s="80">
        <v>31</v>
      </c>
      <c r="AU19" s="83">
        <v>207</v>
      </c>
      <c r="AV19" s="84">
        <v>112</v>
      </c>
      <c r="AW19" s="84">
        <v>95</v>
      </c>
      <c r="AX19" s="81">
        <v>3305</v>
      </c>
      <c r="AY19" s="81">
        <v>1649</v>
      </c>
      <c r="AZ19" s="81">
        <v>1656</v>
      </c>
      <c r="BA19" s="81">
        <v>259</v>
      </c>
      <c r="BB19" s="84">
        <v>120</v>
      </c>
      <c r="BC19" s="84">
        <v>139</v>
      </c>
      <c r="BD19" s="81">
        <v>116</v>
      </c>
      <c r="BE19" s="80">
        <v>52</v>
      </c>
      <c r="BF19" s="80">
        <v>64</v>
      </c>
      <c r="BG19" s="81">
        <v>126</v>
      </c>
      <c r="BH19" s="81">
        <v>64</v>
      </c>
      <c r="BI19" s="81">
        <v>62</v>
      </c>
      <c r="BJ19" s="81">
        <v>179</v>
      </c>
      <c r="BK19" s="80">
        <v>101</v>
      </c>
      <c r="BL19" s="80">
        <v>78</v>
      </c>
      <c r="BM19" s="81">
        <v>44</v>
      </c>
      <c r="BN19" s="81">
        <v>19</v>
      </c>
      <c r="BO19" s="81">
        <v>25</v>
      </c>
      <c r="BP19" s="81">
        <v>158</v>
      </c>
      <c r="BQ19" s="80">
        <v>87</v>
      </c>
      <c r="BR19" s="80">
        <v>71</v>
      </c>
      <c r="BS19" s="81">
        <v>99</v>
      </c>
      <c r="BT19" s="80">
        <v>61</v>
      </c>
      <c r="BU19" s="80">
        <v>38</v>
      </c>
      <c r="BV19" s="81">
        <v>195</v>
      </c>
      <c r="BW19" s="80">
        <v>98</v>
      </c>
      <c r="BX19" s="80">
        <v>97</v>
      </c>
      <c r="BY19" s="81">
        <v>164</v>
      </c>
      <c r="BZ19" s="85">
        <v>74</v>
      </c>
      <c r="CA19" s="85">
        <v>90</v>
      </c>
      <c r="CB19" s="81">
        <v>333</v>
      </c>
      <c r="CC19" s="80">
        <v>174</v>
      </c>
      <c r="CD19" s="80">
        <v>159</v>
      </c>
      <c r="CE19" s="81">
        <v>334</v>
      </c>
      <c r="CF19" s="80">
        <v>168</v>
      </c>
      <c r="CG19" s="80">
        <v>166</v>
      </c>
      <c r="CH19" s="81">
        <v>424</v>
      </c>
      <c r="CI19" s="80">
        <v>215</v>
      </c>
      <c r="CJ19" s="80">
        <v>209</v>
      </c>
      <c r="CK19" s="81">
        <v>221</v>
      </c>
      <c r="CL19" s="80">
        <v>106</v>
      </c>
      <c r="CM19" s="80">
        <v>115</v>
      </c>
      <c r="CN19" s="81">
        <v>205</v>
      </c>
      <c r="CO19" s="80">
        <v>88</v>
      </c>
      <c r="CP19" s="80">
        <v>117</v>
      </c>
      <c r="CQ19" s="81">
        <v>192</v>
      </c>
      <c r="CR19" s="80">
        <v>99</v>
      </c>
      <c r="CS19" s="80">
        <v>93</v>
      </c>
      <c r="CT19" s="81">
        <v>125</v>
      </c>
      <c r="CU19" s="80">
        <v>65</v>
      </c>
      <c r="CV19" s="80">
        <v>60</v>
      </c>
      <c r="CW19" s="81">
        <v>131</v>
      </c>
      <c r="CX19" s="80">
        <v>58</v>
      </c>
      <c r="CY19" s="80">
        <v>73</v>
      </c>
    </row>
    <row r="20" spans="1:103" ht="18.75" customHeight="1" x14ac:dyDescent="0.15">
      <c r="A20" s="87" t="s">
        <v>159</v>
      </c>
      <c r="B20" s="83">
        <v>4714</v>
      </c>
      <c r="C20" s="83">
        <v>2393</v>
      </c>
      <c r="D20" s="83">
        <v>2321</v>
      </c>
      <c r="E20" s="81">
        <v>1464</v>
      </c>
      <c r="F20" s="81">
        <v>734</v>
      </c>
      <c r="G20" s="81">
        <v>730</v>
      </c>
      <c r="H20" s="83">
        <v>89</v>
      </c>
      <c r="I20" s="84">
        <v>39</v>
      </c>
      <c r="J20" s="84">
        <v>50</v>
      </c>
      <c r="K20" s="83">
        <v>132</v>
      </c>
      <c r="L20" s="86">
        <v>70</v>
      </c>
      <c r="M20" s="86">
        <v>62</v>
      </c>
      <c r="N20" s="83">
        <v>74</v>
      </c>
      <c r="O20" s="81">
        <v>41</v>
      </c>
      <c r="P20" s="81">
        <v>33</v>
      </c>
      <c r="Q20" s="83">
        <v>30</v>
      </c>
      <c r="R20" s="82">
        <v>12</v>
      </c>
      <c r="S20" s="82">
        <v>18</v>
      </c>
      <c r="T20" s="83">
        <v>79</v>
      </c>
      <c r="U20" s="80">
        <v>42</v>
      </c>
      <c r="V20" s="80">
        <v>37</v>
      </c>
      <c r="W20" s="83">
        <v>131</v>
      </c>
      <c r="X20" s="84">
        <v>62</v>
      </c>
      <c r="Y20" s="84">
        <v>69</v>
      </c>
      <c r="Z20" s="83">
        <v>148</v>
      </c>
      <c r="AA20" s="84">
        <v>72</v>
      </c>
      <c r="AB20" s="84">
        <v>76</v>
      </c>
      <c r="AC20" s="83">
        <v>40</v>
      </c>
      <c r="AD20" s="81">
        <v>21</v>
      </c>
      <c r="AE20" s="81">
        <v>19</v>
      </c>
      <c r="AF20" s="83">
        <v>87</v>
      </c>
      <c r="AG20" s="80">
        <v>35</v>
      </c>
      <c r="AH20" s="80">
        <v>52</v>
      </c>
      <c r="AI20" s="83">
        <v>138</v>
      </c>
      <c r="AJ20" s="80">
        <v>75</v>
      </c>
      <c r="AK20" s="80">
        <v>63</v>
      </c>
      <c r="AL20" s="83">
        <v>197</v>
      </c>
      <c r="AM20" s="84">
        <v>107</v>
      </c>
      <c r="AN20" s="84">
        <v>90</v>
      </c>
      <c r="AO20" s="83">
        <v>67</v>
      </c>
      <c r="AP20" s="81">
        <v>41</v>
      </c>
      <c r="AQ20" s="81">
        <v>26</v>
      </c>
      <c r="AR20" s="83">
        <v>68</v>
      </c>
      <c r="AS20" s="80">
        <v>32</v>
      </c>
      <c r="AT20" s="80">
        <v>36</v>
      </c>
      <c r="AU20" s="83">
        <v>184</v>
      </c>
      <c r="AV20" s="84">
        <v>85</v>
      </c>
      <c r="AW20" s="84">
        <v>99</v>
      </c>
      <c r="AX20" s="81">
        <v>3250</v>
      </c>
      <c r="AY20" s="81">
        <v>1659</v>
      </c>
      <c r="AZ20" s="81">
        <v>1591</v>
      </c>
      <c r="BA20" s="81">
        <v>258</v>
      </c>
      <c r="BB20" s="84">
        <v>135</v>
      </c>
      <c r="BC20" s="84">
        <v>123</v>
      </c>
      <c r="BD20" s="81">
        <v>112</v>
      </c>
      <c r="BE20" s="80">
        <v>50</v>
      </c>
      <c r="BF20" s="80">
        <v>62</v>
      </c>
      <c r="BG20" s="81">
        <v>102</v>
      </c>
      <c r="BH20" s="81">
        <v>52</v>
      </c>
      <c r="BI20" s="81">
        <v>50</v>
      </c>
      <c r="BJ20" s="81">
        <v>143</v>
      </c>
      <c r="BK20" s="80">
        <v>77</v>
      </c>
      <c r="BL20" s="80">
        <v>66</v>
      </c>
      <c r="BM20" s="81">
        <v>38</v>
      </c>
      <c r="BN20" s="81">
        <v>17</v>
      </c>
      <c r="BO20" s="81">
        <v>21</v>
      </c>
      <c r="BP20" s="81">
        <v>145</v>
      </c>
      <c r="BQ20" s="80">
        <v>79</v>
      </c>
      <c r="BR20" s="80">
        <v>66</v>
      </c>
      <c r="BS20" s="81">
        <v>111</v>
      </c>
      <c r="BT20" s="80">
        <v>49</v>
      </c>
      <c r="BU20" s="80">
        <v>62</v>
      </c>
      <c r="BV20" s="81">
        <v>180</v>
      </c>
      <c r="BW20" s="80">
        <v>90</v>
      </c>
      <c r="BX20" s="80">
        <v>90</v>
      </c>
      <c r="BY20" s="81">
        <v>126</v>
      </c>
      <c r="BZ20" s="85">
        <v>64</v>
      </c>
      <c r="CA20" s="85">
        <v>62</v>
      </c>
      <c r="CB20" s="81">
        <v>383</v>
      </c>
      <c r="CC20" s="80">
        <v>189</v>
      </c>
      <c r="CD20" s="80">
        <v>194</v>
      </c>
      <c r="CE20" s="81">
        <v>377</v>
      </c>
      <c r="CF20" s="80">
        <v>208</v>
      </c>
      <c r="CG20" s="80">
        <v>169</v>
      </c>
      <c r="CH20" s="81">
        <v>370</v>
      </c>
      <c r="CI20" s="80">
        <v>195</v>
      </c>
      <c r="CJ20" s="80">
        <v>175</v>
      </c>
      <c r="CK20" s="81">
        <v>227</v>
      </c>
      <c r="CL20" s="80">
        <v>112</v>
      </c>
      <c r="CM20" s="80">
        <v>115</v>
      </c>
      <c r="CN20" s="81">
        <v>170</v>
      </c>
      <c r="CO20" s="80">
        <v>98</v>
      </c>
      <c r="CP20" s="80">
        <v>72</v>
      </c>
      <c r="CQ20" s="81">
        <v>222</v>
      </c>
      <c r="CR20" s="80">
        <v>103</v>
      </c>
      <c r="CS20" s="80">
        <v>119</v>
      </c>
      <c r="CT20" s="81">
        <v>142</v>
      </c>
      <c r="CU20" s="80">
        <v>74</v>
      </c>
      <c r="CV20" s="80">
        <v>68</v>
      </c>
      <c r="CW20" s="81">
        <v>144</v>
      </c>
      <c r="CX20" s="80">
        <v>67</v>
      </c>
      <c r="CY20" s="80">
        <v>77</v>
      </c>
    </row>
    <row r="21" spans="1:103" ht="18.75" customHeight="1" x14ac:dyDescent="0.15">
      <c r="A21" s="87" t="s">
        <v>158</v>
      </c>
      <c r="B21" s="83">
        <v>4517</v>
      </c>
      <c r="C21" s="83">
        <v>2329</v>
      </c>
      <c r="D21" s="83">
        <v>2188</v>
      </c>
      <c r="E21" s="81">
        <v>1387</v>
      </c>
      <c r="F21" s="81">
        <v>725</v>
      </c>
      <c r="G21" s="81">
        <v>662</v>
      </c>
      <c r="H21" s="83">
        <v>83</v>
      </c>
      <c r="I21" s="84">
        <v>48</v>
      </c>
      <c r="J21" s="84">
        <v>35</v>
      </c>
      <c r="K21" s="83">
        <v>119</v>
      </c>
      <c r="L21" s="86">
        <v>65</v>
      </c>
      <c r="M21" s="86">
        <v>54</v>
      </c>
      <c r="N21" s="83">
        <v>75</v>
      </c>
      <c r="O21" s="81">
        <v>33</v>
      </c>
      <c r="P21" s="81">
        <v>42</v>
      </c>
      <c r="Q21" s="83">
        <v>19</v>
      </c>
      <c r="R21" s="82">
        <v>9</v>
      </c>
      <c r="S21" s="82">
        <v>10</v>
      </c>
      <c r="T21" s="83">
        <v>80</v>
      </c>
      <c r="U21" s="80">
        <v>35</v>
      </c>
      <c r="V21" s="80">
        <v>45</v>
      </c>
      <c r="W21" s="83">
        <v>119</v>
      </c>
      <c r="X21" s="84">
        <v>76</v>
      </c>
      <c r="Y21" s="84">
        <v>43</v>
      </c>
      <c r="Z21" s="83">
        <v>132</v>
      </c>
      <c r="AA21" s="84">
        <v>65</v>
      </c>
      <c r="AB21" s="84">
        <v>67</v>
      </c>
      <c r="AC21" s="83">
        <v>40</v>
      </c>
      <c r="AD21" s="81">
        <v>27</v>
      </c>
      <c r="AE21" s="81">
        <v>13</v>
      </c>
      <c r="AF21" s="83">
        <v>85</v>
      </c>
      <c r="AG21" s="80">
        <v>45</v>
      </c>
      <c r="AH21" s="80">
        <v>40</v>
      </c>
      <c r="AI21" s="83">
        <v>105</v>
      </c>
      <c r="AJ21" s="80">
        <v>45</v>
      </c>
      <c r="AK21" s="80">
        <v>60</v>
      </c>
      <c r="AL21" s="83">
        <v>186</v>
      </c>
      <c r="AM21" s="84">
        <v>102</v>
      </c>
      <c r="AN21" s="84">
        <v>84</v>
      </c>
      <c r="AO21" s="83">
        <v>74</v>
      </c>
      <c r="AP21" s="81">
        <v>40</v>
      </c>
      <c r="AQ21" s="81">
        <v>34</v>
      </c>
      <c r="AR21" s="83">
        <v>72</v>
      </c>
      <c r="AS21" s="80">
        <v>34</v>
      </c>
      <c r="AT21" s="80">
        <v>38</v>
      </c>
      <c r="AU21" s="83">
        <v>198</v>
      </c>
      <c r="AV21" s="84">
        <v>101</v>
      </c>
      <c r="AW21" s="84">
        <v>97</v>
      </c>
      <c r="AX21" s="81">
        <v>3130</v>
      </c>
      <c r="AY21" s="81">
        <v>1604</v>
      </c>
      <c r="AZ21" s="81">
        <v>1526</v>
      </c>
      <c r="BA21" s="81">
        <v>227</v>
      </c>
      <c r="BB21" s="84">
        <v>119</v>
      </c>
      <c r="BC21" s="84">
        <v>108</v>
      </c>
      <c r="BD21" s="81">
        <v>112</v>
      </c>
      <c r="BE21" s="80">
        <v>63</v>
      </c>
      <c r="BF21" s="80">
        <v>49</v>
      </c>
      <c r="BG21" s="81">
        <v>111</v>
      </c>
      <c r="BH21" s="81">
        <v>57</v>
      </c>
      <c r="BI21" s="81">
        <v>54</v>
      </c>
      <c r="BJ21" s="81">
        <v>175</v>
      </c>
      <c r="BK21" s="80">
        <v>90</v>
      </c>
      <c r="BL21" s="80">
        <v>85</v>
      </c>
      <c r="BM21" s="81">
        <v>29</v>
      </c>
      <c r="BN21" s="81">
        <v>14</v>
      </c>
      <c r="BO21" s="81">
        <v>15</v>
      </c>
      <c r="BP21" s="81">
        <v>141</v>
      </c>
      <c r="BQ21" s="80">
        <v>69</v>
      </c>
      <c r="BR21" s="80">
        <v>72</v>
      </c>
      <c r="BS21" s="81">
        <v>99</v>
      </c>
      <c r="BT21" s="80">
        <v>53</v>
      </c>
      <c r="BU21" s="80">
        <v>46</v>
      </c>
      <c r="BV21" s="81">
        <v>181</v>
      </c>
      <c r="BW21" s="80">
        <v>98</v>
      </c>
      <c r="BX21" s="80">
        <v>83</v>
      </c>
      <c r="BY21" s="81">
        <v>137</v>
      </c>
      <c r="BZ21" s="85">
        <v>64</v>
      </c>
      <c r="CA21" s="85">
        <v>73</v>
      </c>
      <c r="CB21" s="81">
        <v>352</v>
      </c>
      <c r="CC21" s="80">
        <v>179</v>
      </c>
      <c r="CD21" s="80">
        <v>173</v>
      </c>
      <c r="CE21" s="81">
        <v>394</v>
      </c>
      <c r="CF21" s="80">
        <v>216</v>
      </c>
      <c r="CG21" s="80">
        <v>178</v>
      </c>
      <c r="CH21" s="81">
        <v>356</v>
      </c>
      <c r="CI21" s="80">
        <v>187</v>
      </c>
      <c r="CJ21" s="80">
        <v>169</v>
      </c>
      <c r="CK21" s="81">
        <v>181</v>
      </c>
      <c r="CL21" s="80">
        <v>91</v>
      </c>
      <c r="CM21" s="80">
        <v>90</v>
      </c>
      <c r="CN21" s="81">
        <v>167</v>
      </c>
      <c r="CO21" s="80">
        <v>88</v>
      </c>
      <c r="CP21" s="80">
        <v>79</v>
      </c>
      <c r="CQ21" s="81">
        <v>202</v>
      </c>
      <c r="CR21" s="80">
        <v>99</v>
      </c>
      <c r="CS21" s="80">
        <v>103</v>
      </c>
      <c r="CT21" s="81">
        <v>114</v>
      </c>
      <c r="CU21" s="80">
        <v>61</v>
      </c>
      <c r="CV21" s="80">
        <v>53</v>
      </c>
      <c r="CW21" s="81">
        <v>152</v>
      </c>
      <c r="CX21" s="80">
        <v>56</v>
      </c>
      <c r="CY21" s="80">
        <v>96</v>
      </c>
    </row>
    <row r="22" spans="1:103" ht="18.75" customHeight="1" x14ac:dyDescent="0.15">
      <c r="A22" s="87" t="s">
        <v>157</v>
      </c>
      <c r="B22" s="83">
        <v>5081</v>
      </c>
      <c r="C22" s="83">
        <v>2633</v>
      </c>
      <c r="D22" s="83">
        <v>2448</v>
      </c>
      <c r="E22" s="81">
        <v>1586</v>
      </c>
      <c r="F22" s="81">
        <v>853</v>
      </c>
      <c r="G22" s="81">
        <v>733</v>
      </c>
      <c r="H22" s="83">
        <v>106</v>
      </c>
      <c r="I22" s="84">
        <v>59</v>
      </c>
      <c r="J22" s="84">
        <v>47</v>
      </c>
      <c r="K22" s="83">
        <v>126</v>
      </c>
      <c r="L22" s="86">
        <v>54</v>
      </c>
      <c r="M22" s="86">
        <v>72</v>
      </c>
      <c r="N22" s="83">
        <v>89</v>
      </c>
      <c r="O22" s="81">
        <v>47</v>
      </c>
      <c r="P22" s="81">
        <v>42</v>
      </c>
      <c r="Q22" s="83">
        <v>35</v>
      </c>
      <c r="R22" s="82">
        <v>14</v>
      </c>
      <c r="S22" s="82">
        <v>21</v>
      </c>
      <c r="T22" s="83">
        <v>83</v>
      </c>
      <c r="U22" s="80">
        <v>53</v>
      </c>
      <c r="V22" s="80">
        <v>30</v>
      </c>
      <c r="W22" s="83">
        <v>151</v>
      </c>
      <c r="X22" s="84">
        <v>79</v>
      </c>
      <c r="Y22" s="84">
        <v>72</v>
      </c>
      <c r="Z22" s="83">
        <v>121</v>
      </c>
      <c r="AA22" s="84">
        <v>59</v>
      </c>
      <c r="AB22" s="84">
        <v>62</v>
      </c>
      <c r="AC22" s="83">
        <v>39</v>
      </c>
      <c r="AD22" s="81">
        <v>23</v>
      </c>
      <c r="AE22" s="81">
        <v>16</v>
      </c>
      <c r="AF22" s="83">
        <v>99</v>
      </c>
      <c r="AG22" s="80">
        <v>62</v>
      </c>
      <c r="AH22" s="80">
        <v>37</v>
      </c>
      <c r="AI22" s="83">
        <v>139</v>
      </c>
      <c r="AJ22" s="80">
        <v>72</v>
      </c>
      <c r="AK22" s="80">
        <v>67</v>
      </c>
      <c r="AL22" s="83">
        <v>192</v>
      </c>
      <c r="AM22" s="84">
        <v>112</v>
      </c>
      <c r="AN22" s="84">
        <v>80</v>
      </c>
      <c r="AO22" s="83">
        <v>97</v>
      </c>
      <c r="AP22" s="81">
        <v>53</v>
      </c>
      <c r="AQ22" s="81">
        <v>44</v>
      </c>
      <c r="AR22" s="83">
        <v>73</v>
      </c>
      <c r="AS22" s="80">
        <v>32</v>
      </c>
      <c r="AT22" s="80">
        <v>41</v>
      </c>
      <c r="AU22" s="83">
        <v>236</v>
      </c>
      <c r="AV22" s="84">
        <v>134</v>
      </c>
      <c r="AW22" s="84">
        <v>102</v>
      </c>
      <c r="AX22" s="81">
        <v>3495</v>
      </c>
      <c r="AY22" s="81">
        <v>1780</v>
      </c>
      <c r="AZ22" s="81">
        <v>1715</v>
      </c>
      <c r="BA22" s="81">
        <v>234</v>
      </c>
      <c r="BB22" s="84">
        <v>118</v>
      </c>
      <c r="BC22" s="84">
        <v>116</v>
      </c>
      <c r="BD22" s="81">
        <v>113</v>
      </c>
      <c r="BE22" s="80">
        <v>59</v>
      </c>
      <c r="BF22" s="80">
        <v>54</v>
      </c>
      <c r="BG22" s="81">
        <v>113</v>
      </c>
      <c r="BH22" s="81">
        <v>53</v>
      </c>
      <c r="BI22" s="81">
        <v>60</v>
      </c>
      <c r="BJ22" s="81">
        <v>159</v>
      </c>
      <c r="BK22" s="80">
        <v>82</v>
      </c>
      <c r="BL22" s="80">
        <v>77</v>
      </c>
      <c r="BM22" s="81">
        <v>36</v>
      </c>
      <c r="BN22" s="81">
        <v>23</v>
      </c>
      <c r="BO22" s="81">
        <v>13</v>
      </c>
      <c r="BP22" s="81">
        <v>189</v>
      </c>
      <c r="BQ22" s="80">
        <v>112</v>
      </c>
      <c r="BR22" s="80">
        <v>77</v>
      </c>
      <c r="BS22" s="81">
        <v>124</v>
      </c>
      <c r="BT22" s="80">
        <v>67</v>
      </c>
      <c r="BU22" s="80">
        <v>57</v>
      </c>
      <c r="BV22" s="81">
        <v>220</v>
      </c>
      <c r="BW22" s="80">
        <v>106</v>
      </c>
      <c r="BX22" s="80">
        <v>114</v>
      </c>
      <c r="BY22" s="81">
        <v>175</v>
      </c>
      <c r="BZ22" s="85">
        <v>89</v>
      </c>
      <c r="CA22" s="85">
        <v>86</v>
      </c>
      <c r="CB22" s="81">
        <v>387</v>
      </c>
      <c r="CC22" s="80">
        <v>193</v>
      </c>
      <c r="CD22" s="80">
        <v>194</v>
      </c>
      <c r="CE22" s="81">
        <v>390</v>
      </c>
      <c r="CF22" s="80">
        <v>217</v>
      </c>
      <c r="CG22" s="80">
        <v>173</v>
      </c>
      <c r="CH22" s="81">
        <v>341</v>
      </c>
      <c r="CI22" s="80">
        <v>167</v>
      </c>
      <c r="CJ22" s="80">
        <v>174</v>
      </c>
      <c r="CK22" s="81">
        <v>304</v>
      </c>
      <c r="CL22" s="80">
        <v>151</v>
      </c>
      <c r="CM22" s="80">
        <v>153</v>
      </c>
      <c r="CN22" s="81">
        <v>191</v>
      </c>
      <c r="CO22" s="80">
        <v>100</v>
      </c>
      <c r="CP22" s="80">
        <v>91</v>
      </c>
      <c r="CQ22" s="81">
        <v>197</v>
      </c>
      <c r="CR22" s="80">
        <v>104</v>
      </c>
      <c r="CS22" s="80">
        <v>93</v>
      </c>
      <c r="CT22" s="81">
        <v>159</v>
      </c>
      <c r="CU22" s="80">
        <v>70</v>
      </c>
      <c r="CV22" s="80">
        <v>89</v>
      </c>
      <c r="CW22" s="81">
        <v>163</v>
      </c>
      <c r="CX22" s="80">
        <v>69</v>
      </c>
      <c r="CY22" s="80">
        <v>94</v>
      </c>
    </row>
    <row r="23" spans="1:103" ht="18.75" customHeight="1" x14ac:dyDescent="0.15">
      <c r="A23" s="87" t="s">
        <v>156</v>
      </c>
      <c r="B23" s="83">
        <v>4975</v>
      </c>
      <c r="C23" s="83">
        <v>2548</v>
      </c>
      <c r="D23" s="83">
        <v>2427</v>
      </c>
      <c r="E23" s="81">
        <v>1572</v>
      </c>
      <c r="F23" s="81">
        <v>813</v>
      </c>
      <c r="G23" s="81">
        <v>759</v>
      </c>
      <c r="H23" s="83">
        <v>101</v>
      </c>
      <c r="I23" s="84">
        <v>55</v>
      </c>
      <c r="J23" s="84">
        <v>46</v>
      </c>
      <c r="K23" s="83">
        <v>135</v>
      </c>
      <c r="L23" s="86">
        <v>63</v>
      </c>
      <c r="M23" s="86">
        <v>72</v>
      </c>
      <c r="N23" s="83">
        <v>88</v>
      </c>
      <c r="O23" s="81">
        <v>52</v>
      </c>
      <c r="P23" s="81">
        <v>36</v>
      </c>
      <c r="Q23" s="83">
        <v>32</v>
      </c>
      <c r="R23" s="82">
        <v>16</v>
      </c>
      <c r="S23" s="82">
        <v>16</v>
      </c>
      <c r="T23" s="83">
        <v>94</v>
      </c>
      <c r="U23" s="80">
        <v>57</v>
      </c>
      <c r="V23" s="80">
        <v>37</v>
      </c>
      <c r="W23" s="83">
        <v>121</v>
      </c>
      <c r="X23" s="84">
        <v>61</v>
      </c>
      <c r="Y23" s="84">
        <v>60</v>
      </c>
      <c r="Z23" s="83">
        <v>122</v>
      </c>
      <c r="AA23" s="84">
        <v>63</v>
      </c>
      <c r="AB23" s="84">
        <v>59</v>
      </c>
      <c r="AC23" s="83">
        <v>36</v>
      </c>
      <c r="AD23" s="81">
        <v>17</v>
      </c>
      <c r="AE23" s="81">
        <v>19</v>
      </c>
      <c r="AF23" s="83">
        <v>118</v>
      </c>
      <c r="AG23" s="80">
        <v>63</v>
      </c>
      <c r="AH23" s="80">
        <v>55</v>
      </c>
      <c r="AI23" s="83">
        <v>108</v>
      </c>
      <c r="AJ23" s="80">
        <v>54</v>
      </c>
      <c r="AK23" s="80">
        <v>54</v>
      </c>
      <c r="AL23" s="83">
        <v>223</v>
      </c>
      <c r="AM23" s="84">
        <v>117</v>
      </c>
      <c r="AN23" s="84">
        <v>106</v>
      </c>
      <c r="AO23" s="83">
        <v>104</v>
      </c>
      <c r="AP23" s="81">
        <v>54</v>
      </c>
      <c r="AQ23" s="81">
        <v>50</v>
      </c>
      <c r="AR23" s="83">
        <v>84</v>
      </c>
      <c r="AS23" s="80">
        <v>38</v>
      </c>
      <c r="AT23" s="80">
        <v>46</v>
      </c>
      <c r="AU23" s="83">
        <v>206</v>
      </c>
      <c r="AV23" s="84">
        <v>103</v>
      </c>
      <c r="AW23" s="84">
        <v>103</v>
      </c>
      <c r="AX23" s="81">
        <v>3403</v>
      </c>
      <c r="AY23" s="81">
        <v>1735</v>
      </c>
      <c r="AZ23" s="81">
        <v>1668</v>
      </c>
      <c r="BA23" s="81">
        <v>223</v>
      </c>
      <c r="BB23" s="84">
        <v>120</v>
      </c>
      <c r="BC23" s="84">
        <v>103</v>
      </c>
      <c r="BD23" s="81">
        <v>113</v>
      </c>
      <c r="BE23" s="80">
        <v>52</v>
      </c>
      <c r="BF23" s="80">
        <v>61</v>
      </c>
      <c r="BG23" s="81">
        <v>126</v>
      </c>
      <c r="BH23" s="81">
        <v>63</v>
      </c>
      <c r="BI23" s="81">
        <v>63</v>
      </c>
      <c r="BJ23" s="81">
        <v>172</v>
      </c>
      <c r="BK23" s="80">
        <v>87</v>
      </c>
      <c r="BL23" s="80">
        <v>85</v>
      </c>
      <c r="BM23" s="81">
        <v>47</v>
      </c>
      <c r="BN23" s="81">
        <v>26</v>
      </c>
      <c r="BO23" s="81">
        <v>21</v>
      </c>
      <c r="BP23" s="81">
        <v>210</v>
      </c>
      <c r="BQ23" s="80">
        <v>108</v>
      </c>
      <c r="BR23" s="80">
        <v>102</v>
      </c>
      <c r="BS23" s="81">
        <v>110</v>
      </c>
      <c r="BT23" s="80">
        <v>49</v>
      </c>
      <c r="BU23" s="80">
        <v>61</v>
      </c>
      <c r="BV23" s="81">
        <v>228</v>
      </c>
      <c r="BW23" s="80">
        <v>117</v>
      </c>
      <c r="BX23" s="80">
        <v>111</v>
      </c>
      <c r="BY23" s="81">
        <v>142</v>
      </c>
      <c r="BZ23" s="85">
        <v>67</v>
      </c>
      <c r="CA23" s="85">
        <v>75</v>
      </c>
      <c r="CB23" s="81">
        <v>342</v>
      </c>
      <c r="CC23" s="80">
        <v>169</v>
      </c>
      <c r="CD23" s="80">
        <v>173</v>
      </c>
      <c r="CE23" s="81">
        <v>400</v>
      </c>
      <c r="CF23" s="80">
        <v>212</v>
      </c>
      <c r="CG23" s="80">
        <v>188</v>
      </c>
      <c r="CH23" s="81">
        <v>296</v>
      </c>
      <c r="CI23" s="80">
        <v>164</v>
      </c>
      <c r="CJ23" s="80">
        <v>132</v>
      </c>
      <c r="CK23" s="81">
        <v>253</v>
      </c>
      <c r="CL23" s="80">
        <v>123</v>
      </c>
      <c r="CM23" s="80">
        <v>130</v>
      </c>
      <c r="CN23" s="81">
        <v>188</v>
      </c>
      <c r="CO23" s="80">
        <v>98</v>
      </c>
      <c r="CP23" s="80">
        <v>90</v>
      </c>
      <c r="CQ23" s="81">
        <v>214</v>
      </c>
      <c r="CR23" s="80">
        <v>115</v>
      </c>
      <c r="CS23" s="80">
        <v>99</v>
      </c>
      <c r="CT23" s="81">
        <v>143</v>
      </c>
      <c r="CU23" s="80">
        <v>74</v>
      </c>
      <c r="CV23" s="80">
        <v>69</v>
      </c>
      <c r="CW23" s="81">
        <v>196</v>
      </c>
      <c r="CX23" s="80">
        <v>91</v>
      </c>
      <c r="CY23" s="80">
        <v>105</v>
      </c>
    </row>
    <row r="24" spans="1:103" ht="18.75" customHeight="1" x14ac:dyDescent="0.15">
      <c r="A24" s="57" t="s">
        <v>197</v>
      </c>
      <c r="B24" s="78">
        <v>25103</v>
      </c>
      <c r="C24" s="78">
        <v>12938</v>
      </c>
      <c r="D24" s="78">
        <v>12165</v>
      </c>
      <c r="E24" s="78">
        <v>8750</v>
      </c>
      <c r="F24" s="78">
        <v>4500</v>
      </c>
      <c r="G24" s="78">
        <v>4250</v>
      </c>
      <c r="H24" s="78">
        <v>691</v>
      </c>
      <c r="I24" s="78">
        <v>343</v>
      </c>
      <c r="J24" s="78">
        <v>348</v>
      </c>
      <c r="K24" s="78">
        <v>701</v>
      </c>
      <c r="L24" s="78">
        <v>346</v>
      </c>
      <c r="M24" s="78">
        <v>355</v>
      </c>
      <c r="N24" s="78">
        <v>561</v>
      </c>
      <c r="O24" s="78">
        <v>280</v>
      </c>
      <c r="P24" s="78">
        <v>281</v>
      </c>
      <c r="Q24" s="78">
        <v>236</v>
      </c>
      <c r="R24" s="78">
        <v>101</v>
      </c>
      <c r="S24" s="78">
        <v>135</v>
      </c>
      <c r="T24" s="78">
        <v>563</v>
      </c>
      <c r="U24" s="78">
        <v>294</v>
      </c>
      <c r="V24" s="78">
        <v>269</v>
      </c>
      <c r="W24" s="78">
        <v>843</v>
      </c>
      <c r="X24" s="78">
        <v>444</v>
      </c>
      <c r="Y24" s="78">
        <v>399</v>
      </c>
      <c r="Z24" s="78">
        <v>565</v>
      </c>
      <c r="AA24" s="78">
        <v>295</v>
      </c>
      <c r="AB24" s="78">
        <v>270</v>
      </c>
      <c r="AC24" s="78">
        <v>242</v>
      </c>
      <c r="AD24" s="78">
        <v>123</v>
      </c>
      <c r="AE24" s="78">
        <v>119</v>
      </c>
      <c r="AF24" s="78">
        <v>546</v>
      </c>
      <c r="AG24" s="78">
        <v>254</v>
      </c>
      <c r="AH24" s="78">
        <v>292</v>
      </c>
      <c r="AI24" s="78">
        <v>634</v>
      </c>
      <c r="AJ24" s="78">
        <v>337</v>
      </c>
      <c r="AK24" s="78">
        <v>297</v>
      </c>
      <c r="AL24" s="78">
        <v>1092</v>
      </c>
      <c r="AM24" s="78">
        <v>582</v>
      </c>
      <c r="AN24" s="78">
        <v>510</v>
      </c>
      <c r="AO24" s="78">
        <v>516</v>
      </c>
      <c r="AP24" s="78">
        <v>282</v>
      </c>
      <c r="AQ24" s="78">
        <v>234</v>
      </c>
      <c r="AR24" s="78">
        <v>507</v>
      </c>
      <c r="AS24" s="78">
        <v>268</v>
      </c>
      <c r="AT24" s="78">
        <v>239</v>
      </c>
      <c r="AU24" s="78">
        <v>1053</v>
      </c>
      <c r="AV24" s="78">
        <v>551</v>
      </c>
      <c r="AW24" s="78">
        <v>502</v>
      </c>
      <c r="AX24" s="78">
        <v>16353</v>
      </c>
      <c r="AY24" s="78">
        <v>8438</v>
      </c>
      <c r="AZ24" s="78">
        <v>7915</v>
      </c>
      <c r="BA24" s="78">
        <v>1165</v>
      </c>
      <c r="BB24" s="78">
        <v>585</v>
      </c>
      <c r="BC24" s="78">
        <v>580</v>
      </c>
      <c r="BD24" s="78">
        <v>600</v>
      </c>
      <c r="BE24" s="78">
        <v>298</v>
      </c>
      <c r="BF24" s="78">
        <v>302</v>
      </c>
      <c r="BG24" s="78">
        <v>661</v>
      </c>
      <c r="BH24" s="78">
        <v>353</v>
      </c>
      <c r="BI24" s="78">
        <v>308</v>
      </c>
      <c r="BJ24" s="78">
        <v>983</v>
      </c>
      <c r="BK24" s="78">
        <v>517</v>
      </c>
      <c r="BL24" s="78">
        <v>466</v>
      </c>
      <c r="BM24" s="78">
        <v>255</v>
      </c>
      <c r="BN24" s="78">
        <v>148</v>
      </c>
      <c r="BO24" s="78">
        <v>107</v>
      </c>
      <c r="BP24" s="78">
        <v>1181</v>
      </c>
      <c r="BQ24" s="78">
        <v>611</v>
      </c>
      <c r="BR24" s="78">
        <v>570</v>
      </c>
      <c r="BS24" s="78">
        <v>609</v>
      </c>
      <c r="BT24" s="78">
        <v>301</v>
      </c>
      <c r="BU24" s="78">
        <v>308</v>
      </c>
      <c r="BV24" s="78">
        <v>1059</v>
      </c>
      <c r="BW24" s="78">
        <v>555</v>
      </c>
      <c r="BX24" s="78">
        <v>504</v>
      </c>
      <c r="BY24" s="78">
        <v>745</v>
      </c>
      <c r="BZ24" s="78">
        <v>373</v>
      </c>
      <c r="CA24" s="78">
        <v>372</v>
      </c>
      <c r="CB24" s="78">
        <v>1536</v>
      </c>
      <c r="CC24" s="78">
        <v>810</v>
      </c>
      <c r="CD24" s="78">
        <v>726</v>
      </c>
      <c r="CE24" s="78">
        <v>1517</v>
      </c>
      <c r="CF24" s="78">
        <v>802</v>
      </c>
      <c r="CG24" s="78">
        <v>715</v>
      </c>
      <c r="CH24" s="78">
        <v>1224</v>
      </c>
      <c r="CI24" s="78">
        <v>658</v>
      </c>
      <c r="CJ24" s="78">
        <v>566</v>
      </c>
      <c r="CK24" s="78">
        <v>1285</v>
      </c>
      <c r="CL24" s="78">
        <v>651</v>
      </c>
      <c r="CM24" s="78">
        <v>634</v>
      </c>
      <c r="CN24" s="78">
        <v>990</v>
      </c>
      <c r="CO24" s="78">
        <v>501</v>
      </c>
      <c r="CP24" s="78">
        <v>489</v>
      </c>
      <c r="CQ24" s="78">
        <v>963</v>
      </c>
      <c r="CR24" s="78">
        <v>499</v>
      </c>
      <c r="CS24" s="78">
        <v>464</v>
      </c>
      <c r="CT24" s="78">
        <v>855</v>
      </c>
      <c r="CU24" s="78">
        <v>419</v>
      </c>
      <c r="CV24" s="78">
        <v>436</v>
      </c>
      <c r="CW24" s="78">
        <v>725</v>
      </c>
      <c r="CX24" s="78">
        <v>357</v>
      </c>
      <c r="CY24" s="78">
        <v>368</v>
      </c>
    </row>
    <row r="25" spans="1:103" ht="18.75" customHeight="1" x14ac:dyDescent="0.15">
      <c r="A25" s="87" t="s">
        <v>154</v>
      </c>
      <c r="B25" s="83">
        <v>5056</v>
      </c>
      <c r="C25" s="83">
        <v>2633</v>
      </c>
      <c r="D25" s="83">
        <v>2423</v>
      </c>
      <c r="E25" s="81">
        <v>1616</v>
      </c>
      <c r="F25" s="81">
        <v>835</v>
      </c>
      <c r="G25" s="81">
        <v>781</v>
      </c>
      <c r="H25" s="83">
        <v>118</v>
      </c>
      <c r="I25" s="84">
        <v>65</v>
      </c>
      <c r="J25" s="84">
        <v>53</v>
      </c>
      <c r="K25" s="83">
        <v>129</v>
      </c>
      <c r="L25" s="86">
        <v>57</v>
      </c>
      <c r="M25" s="86">
        <v>72</v>
      </c>
      <c r="N25" s="83">
        <v>104</v>
      </c>
      <c r="O25" s="81">
        <v>60</v>
      </c>
      <c r="P25" s="81">
        <v>44</v>
      </c>
      <c r="Q25" s="83">
        <v>37</v>
      </c>
      <c r="R25" s="82">
        <v>18</v>
      </c>
      <c r="S25" s="82">
        <v>19</v>
      </c>
      <c r="T25" s="83">
        <v>97</v>
      </c>
      <c r="U25" s="80">
        <v>55</v>
      </c>
      <c r="V25" s="80">
        <v>42</v>
      </c>
      <c r="W25" s="83">
        <v>150</v>
      </c>
      <c r="X25" s="84">
        <v>76</v>
      </c>
      <c r="Y25" s="84">
        <v>74</v>
      </c>
      <c r="Z25" s="83">
        <v>120</v>
      </c>
      <c r="AA25" s="84">
        <v>61</v>
      </c>
      <c r="AB25" s="84">
        <v>59</v>
      </c>
      <c r="AC25" s="83">
        <v>40</v>
      </c>
      <c r="AD25" s="81">
        <v>20</v>
      </c>
      <c r="AE25" s="81">
        <v>20</v>
      </c>
      <c r="AF25" s="83">
        <v>94</v>
      </c>
      <c r="AG25" s="80">
        <v>39</v>
      </c>
      <c r="AH25" s="80">
        <v>55</v>
      </c>
      <c r="AI25" s="83">
        <v>122</v>
      </c>
      <c r="AJ25" s="80">
        <v>59</v>
      </c>
      <c r="AK25" s="80">
        <v>63</v>
      </c>
      <c r="AL25" s="83">
        <v>191</v>
      </c>
      <c r="AM25" s="84">
        <v>104</v>
      </c>
      <c r="AN25" s="84">
        <v>87</v>
      </c>
      <c r="AO25" s="83">
        <v>93</v>
      </c>
      <c r="AP25" s="81">
        <v>53</v>
      </c>
      <c r="AQ25" s="81">
        <v>40</v>
      </c>
      <c r="AR25" s="83">
        <v>103</v>
      </c>
      <c r="AS25" s="80">
        <v>50</v>
      </c>
      <c r="AT25" s="80">
        <v>53</v>
      </c>
      <c r="AU25" s="83">
        <v>218</v>
      </c>
      <c r="AV25" s="84">
        <v>118</v>
      </c>
      <c r="AW25" s="84">
        <v>100</v>
      </c>
      <c r="AX25" s="81">
        <v>3440</v>
      </c>
      <c r="AY25" s="81">
        <v>1798</v>
      </c>
      <c r="AZ25" s="81">
        <v>1642</v>
      </c>
      <c r="BA25" s="81">
        <v>237</v>
      </c>
      <c r="BB25" s="84">
        <v>106</v>
      </c>
      <c r="BC25" s="84">
        <v>131</v>
      </c>
      <c r="BD25" s="81">
        <v>121</v>
      </c>
      <c r="BE25" s="80">
        <v>65</v>
      </c>
      <c r="BF25" s="80">
        <v>56</v>
      </c>
      <c r="BG25" s="81">
        <v>128</v>
      </c>
      <c r="BH25" s="81">
        <v>66</v>
      </c>
      <c r="BI25" s="81">
        <v>62</v>
      </c>
      <c r="BJ25" s="81">
        <v>198</v>
      </c>
      <c r="BK25" s="80">
        <v>111</v>
      </c>
      <c r="BL25" s="80">
        <v>87</v>
      </c>
      <c r="BM25" s="81">
        <v>46</v>
      </c>
      <c r="BN25" s="81">
        <v>31</v>
      </c>
      <c r="BO25" s="81">
        <v>15</v>
      </c>
      <c r="BP25" s="81">
        <v>226</v>
      </c>
      <c r="BQ25" s="80">
        <v>121</v>
      </c>
      <c r="BR25" s="80">
        <v>105</v>
      </c>
      <c r="BS25" s="81">
        <v>125</v>
      </c>
      <c r="BT25" s="80">
        <v>56</v>
      </c>
      <c r="BU25" s="80">
        <v>69</v>
      </c>
      <c r="BV25" s="81">
        <v>219</v>
      </c>
      <c r="BW25" s="80">
        <v>110</v>
      </c>
      <c r="BX25" s="80">
        <v>109</v>
      </c>
      <c r="BY25" s="81">
        <v>160</v>
      </c>
      <c r="BZ25" s="85">
        <v>87</v>
      </c>
      <c r="CA25" s="85">
        <v>73</v>
      </c>
      <c r="CB25" s="81">
        <v>356</v>
      </c>
      <c r="CC25" s="80">
        <v>173</v>
      </c>
      <c r="CD25" s="80">
        <v>183</v>
      </c>
      <c r="CE25" s="81">
        <v>354</v>
      </c>
      <c r="CF25" s="80">
        <v>208</v>
      </c>
      <c r="CG25" s="80">
        <v>146</v>
      </c>
      <c r="CH25" s="81">
        <v>259</v>
      </c>
      <c r="CI25" s="80">
        <v>155</v>
      </c>
      <c r="CJ25" s="80">
        <v>104</v>
      </c>
      <c r="CK25" s="81">
        <v>271</v>
      </c>
      <c r="CL25" s="84">
        <v>135</v>
      </c>
      <c r="CM25" s="84">
        <v>136</v>
      </c>
      <c r="CN25" s="81">
        <v>205</v>
      </c>
      <c r="CO25" s="80">
        <v>105</v>
      </c>
      <c r="CP25" s="80">
        <v>100</v>
      </c>
      <c r="CQ25" s="81">
        <v>199</v>
      </c>
      <c r="CR25" s="80">
        <v>102</v>
      </c>
      <c r="CS25" s="80">
        <v>97</v>
      </c>
      <c r="CT25" s="81">
        <v>169</v>
      </c>
      <c r="CU25" s="80">
        <v>85</v>
      </c>
      <c r="CV25" s="80">
        <v>84</v>
      </c>
      <c r="CW25" s="81">
        <v>167</v>
      </c>
      <c r="CX25" s="80">
        <v>82</v>
      </c>
      <c r="CY25" s="80">
        <v>85</v>
      </c>
    </row>
    <row r="26" spans="1:103" ht="18.75" customHeight="1" x14ac:dyDescent="0.15">
      <c r="A26" s="87" t="s">
        <v>153</v>
      </c>
      <c r="B26" s="83">
        <v>4683</v>
      </c>
      <c r="C26" s="83">
        <v>2407</v>
      </c>
      <c r="D26" s="83">
        <v>2276</v>
      </c>
      <c r="E26" s="81">
        <v>1549</v>
      </c>
      <c r="F26" s="81">
        <v>792</v>
      </c>
      <c r="G26" s="81">
        <v>757</v>
      </c>
      <c r="H26" s="83">
        <v>127</v>
      </c>
      <c r="I26" s="84">
        <v>62</v>
      </c>
      <c r="J26" s="84">
        <v>65</v>
      </c>
      <c r="K26" s="83">
        <v>117</v>
      </c>
      <c r="L26" s="86">
        <v>64</v>
      </c>
      <c r="M26" s="86">
        <v>53</v>
      </c>
      <c r="N26" s="83">
        <v>92</v>
      </c>
      <c r="O26" s="81">
        <v>40</v>
      </c>
      <c r="P26" s="81">
        <v>52</v>
      </c>
      <c r="Q26" s="83">
        <v>38</v>
      </c>
      <c r="R26" s="82">
        <v>16</v>
      </c>
      <c r="S26" s="82">
        <v>22</v>
      </c>
      <c r="T26" s="83">
        <v>110</v>
      </c>
      <c r="U26" s="80">
        <v>57</v>
      </c>
      <c r="V26" s="80">
        <v>53</v>
      </c>
      <c r="W26" s="83">
        <v>138</v>
      </c>
      <c r="X26" s="84">
        <v>75</v>
      </c>
      <c r="Y26" s="84">
        <v>63</v>
      </c>
      <c r="Z26" s="83">
        <v>100</v>
      </c>
      <c r="AA26" s="84">
        <v>46</v>
      </c>
      <c r="AB26" s="84">
        <v>54</v>
      </c>
      <c r="AC26" s="83">
        <v>37</v>
      </c>
      <c r="AD26" s="81">
        <v>18</v>
      </c>
      <c r="AE26" s="81">
        <v>19</v>
      </c>
      <c r="AF26" s="83">
        <v>117</v>
      </c>
      <c r="AG26" s="80">
        <v>53</v>
      </c>
      <c r="AH26" s="80">
        <v>64</v>
      </c>
      <c r="AI26" s="83">
        <v>110</v>
      </c>
      <c r="AJ26" s="80">
        <v>60</v>
      </c>
      <c r="AK26" s="80">
        <v>50</v>
      </c>
      <c r="AL26" s="83">
        <v>186</v>
      </c>
      <c r="AM26" s="84">
        <v>104</v>
      </c>
      <c r="AN26" s="84">
        <v>82</v>
      </c>
      <c r="AO26" s="83">
        <v>96</v>
      </c>
      <c r="AP26" s="81">
        <v>49</v>
      </c>
      <c r="AQ26" s="81">
        <v>47</v>
      </c>
      <c r="AR26" s="83">
        <v>92</v>
      </c>
      <c r="AS26" s="80">
        <v>53</v>
      </c>
      <c r="AT26" s="80">
        <v>39</v>
      </c>
      <c r="AU26" s="83">
        <v>189</v>
      </c>
      <c r="AV26" s="84">
        <v>95</v>
      </c>
      <c r="AW26" s="84">
        <v>94</v>
      </c>
      <c r="AX26" s="81">
        <v>3134</v>
      </c>
      <c r="AY26" s="81">
        <v>1615</v>
      </c>
      <c r="AZ26" s="81">
        <v>1519</v>
      </c>
      <c r="BA26" s="81">
        <v>212</v>
      </c>
      <c r="BB26" s="84">
        <v>116</v>
      </c>
      <c r="BC26" s="84">
        <v>96</v>
      </c>
      <c r="BD26" s="81">
        <v>114</v>
      </c>
      <c r="BE26" s="80">
        <v>56</v>
      </c>
      <c r="BF26" s="80">
        <v>58</v>
      </c>
      <c r="BG26" s="81">
        <v>114</v>
      </c>
      <c r="BH26" s="81">
        <v>63</v>
      </c>
      <c r="BI26" s="81">
        <v>51</v>
      </c>
      <c r="BJ26" s="81">
        <v>190</v>
      </c>
      <c r="BK26" s="80">
        <v>93</v>
      </c>
      <c r="BL26" s="80">
        <v>97</v>
      </c>
      <c r="BM26" s="81">
        <v>39</v>
      </c>
      <c r="BN26" s="81">
        <v>22</v>
      </c>
      <c r="BO26" s="81">
        <v>17</v>
      </c>
      <c r="BP26" s="81">
        <v>216</v>
      </c>
      <c r="BQ26" s="80">
        <v>112</v>
      </c>
      <c r="BR26" s="80">
        <v>104</v>
      </c>
      <c r="BS26" s="81">
        <v>114</v>
      </c>
      <c r="BT26" s="80">
        <v>57</v>
      </c>
      <c r="BU26" s="80">
        <v>57</v>
      </c>
      <c r="BV26" s="81">
        <v>194</v>
      </c>
      <c r="BW26" s="80">
        <v>91</v>
      </c>
      <c r="BX26" s="80">
        <v>103</v>
      </c>
      <c r="BY26" s="81">
        <v>137</v>
      </c>
      <c r="BZ26" s="85">
        <v>73</v>
      </c>
      <c r="CA26" s="85">
        <v>64</v>
      </c>
      <c r="CB26" s="81">
        <v>293</v>
      </c>
      <c r="CC26" s="80">
        <v>181</v>
      </c>
      <c r="CD26" s="80">
        <v>112</v>
      </c>
      <c r="CE26" s="81">
        <v>331</v>
      </c>
      <c r="CF26" s="80">
        <v>158</v>
      </c>
      <c r="CG26" s="80">
        <v>173</v>
      </c>
      <c r="CH26" s="81">
        <v>240</v>
      </c>
      <c r="CI26" s="80">
        <v>118</v>
      </c>
      <c r="CJ26" s="80">
        <v>122</v>
      </c>
      <c r="CK26" s="81">
        <v>253</v>
      </c>
      <c r="CL26" s="84">
        <v>139</v>
      </c>
      <c r="CM26" s="84">
        <v>114</v>
      </c>
      <c r="CN26" s="81">
        <v>191</v>
      </c>
      <c r="CO26" s="80">
        <v>90</v>
      </c>
      <c r="CP26" s="80">
        <v>101</v>
      </c>
      <c r="CQ26" s="81">
        <v>188</v>
      </c>
      <c r="CR26" s="80">
        <v>98</v>
      </c>
      <c r="CS26" s="80">
        <v>90</v>
      </c>
      <c r="CT26" s="81">
        <v>163</v>
      </c>
      <c r="CU26" s="80">
        <v>81</v>
      </c>
      <c r="CV26" s="80">
        <v>82</v>
      </c>
      <c r="CW26" s="81">
        <v>145</v>
      </c>
      <c r="CX26" s="80">
        <v>67</v>
      </c>
      <c r="CY26" s="80">
        <v>78</v>
      </c>
    </row>
    <row r="27" spans="1:103" ht="18.75" customHeight="1" x14ac:dyDescent="0.15">
      <c r="A27" s="87" t="s">
        <v>152</v>
      </c>
      <c r="B27" s="83">
        <v>5063</v>
      </c>
      <c r="C27" s="83">
        <v>2616</v>
      </c>
      <c r="D27" s="83">
        <v>2447</v>
      </c>
      <c r="E27" s="81">
        <v>1743</v>
      </c>
      <c r="F27" s="81">
        <v>914</v>
      </c>
      <c r="G27" s="81">
        <v>829</v>
      </c>
      <c r="H27" s="83">
        <v>127</v>
      </c>
      <c r="I27" s="84">
        <v>68</v>
      </c>
      <c r="J27" s="84">
        <v>59</v>
      </c>
      <c r="K27" s="83">
        <v>130</v>
      </c>
      <c r="L27" s="86">
        <v>69</v>
      </c>
      <c r="M27" s="86">
        <v>61</v>
      </c>
      <c r="N27" s="83">
        <v>107</v>
      </c>
      <c r="O27" s="81">
        <v>52</v>
      </c>
      <c r="P27" s="81">
        <v>55</v>
      </c>
      <c r="Q27" s="83">
        <v>49</v>
      </c>
      <c r="R27" s="82">
        <v>20</v>
      </c>
      <c r="S27" s="82">
        <v>29</v>
      </c>
      <c r="T27" s="83">
        <v>116</v>
      </c>
      <c r="U27" s="80">
        <v>60</v>
      </c>
      <c r="V27" s="80">
        <v>56</v>
      </c>
      <c r="W27" s="83">
        <v>160</v>
      </c>
      <c r="X27" s="84">
        <v>90</v>
      </c>
      <c r="Y27" s="84">
        <v>70</v>
      </c>
      <c r="Z27" s="83">
        <v>124</v>
      </c>
      <c r="AA27" s="84">
        <v>70</v>
      </c>
      <c r="AB27" s="84">
        <v>54</v>
      </c>
      <c r="AC27" s="83">
        <v>51</v>
      </c>
      <c r="AD27" s="81">
        <v>24</v>
      </c>
      <c r="AE27" s="81">
        <v>27</v>
      </c>
      <c r="AF27" s="83">
        <v>109</v>
      </c>
      <c r="AG27" s="80">
        <v>43</v>
      </c>
      <c r="AH27" s="80">
        <v>66</v>
      </c>
      <c r="AI27" s="83">
        <v>132</v>
      </c>
      <c r="AJ27" s="80">
        <v>83</v>
      </c>
      <c r="AK27" s="80">
        <v>49</v>
      </c>
      <c r="AL27" s="83">
        <v>201</v>
      </c>
      <c r="AM27" s="84">
        <v>108</v>
      </c>
      <c r="AN27" s="84">
        <v>93</v>
      </c>
      <c r="AO27" s="83">
        <v>104</v>
      </c>
      <c r="AP27" s="81">
        <v>54</v>
      </c>
      <c r="AQ27" s="81">
        <v>50</v>
      </c>
      <c r="AR27" s="83">
        <v>102</v>
      </c>
      <c r="AS27" s="80">
        <v>53</v>
      </c>
      <c r="AT27" s="80">
        <v>49</v>
      </c>
      <c r="AU27" s="83">
        <v>231</v>
      </c>
      <c r="AV27" s="84">
        <v>120</v>
      </c>
      <c r="AW27" s="84">
        <v>111</v>
      </c>
      <c r="AX27" s="81">
        <v>3320</v>
      </c>
      <c r="AY27" s="81">
        <v>1702</v>
      </c>
      <c r="AZ27" s="81">
        <v>1618</v>
      </c>
      <c r="BA27" s="81">
        <v>246</v>
      </c>
      <c r="BB27" s="84">
        <v>124</v>
      </c>
      <c r="BC27" s="84">
        <v>122</v>
      </c>
      <c r="BD27" s="81">
        <v>133</v>
      </c>
      <c r="BE27" s="80">
        <v>58</v>
      </c>
      <c r="BF27" s="80">
        <v>75</v>
      </c>
      <c r="BG27" s="81">
        <v>140</v>
      </c>
      <c r="BH27" s="81">
        <v>73</v>
      </c>
      <c r="BI27" s="81">
        <v>67</v>
      </c>
      <c r="BJ27" s="81">
        <v>203</v>
      </c>
      <c r="BK27" s="80">
        <v>107</v>
      </c>
      <c r="BL27" s="80">
        <v>96</v>
      </c>
      <c r="BM27" s="81">
        <v>49</v>
      </c>
      <c r="BN27" s="81">
        <v>29</v>
      </c>
      <c r="BO27" s="81">
        <v>20</v>
      </c>
      <c r="BP27" s="81">
        <v>221</v>
      </c>
      <c r="BQ27" s="80">
        <v>115</v>
      </c>
      <c r="BR27" s="80">
        <v>106</v>
      </c>
      <c r="BS27" s="81">
        <v>121</v>
      </c>
      <c r="BT27" s="80">
        <v>56</v>
      </c>
      <c r="BU27" s="80">
        <v>65</v>
      </c>
      <c r="BV27" s="81">
        <v>200</v>
      </c>
      <c r="BW27" s="80">
        <v>111</v>
      </c>
      <c r="BX27" s="80">
        <v>89</v>
      </c>
      <c r="BY27" s="81">
        <v>142</v>
      </c>
      <c r="BZ27" s="85">
        <v>73</v>
      </c>
      <c r="CA27" s="85">
        <v>69</v>
      </c>
      <c r="CB27" s="81">
        <v>319</v>
      </c>
      <c r="CC27" s="80">
        <v>177</v>
      </c>
      <c r="CD27" s="80">
        <v>142</v>
      </c>
      <c r="CE27" s="81">
        <v>304</v>
      </c>
      <c r="CF27" s="80">
        <v>149</v>
      </c>
      <c r="CG27" s="80">
        <v>155</v>
      </c>
      <c r="CH27" s="81">
        <v>258</v>
      </c>
      <c r="CI27" s="80">
        <v>129</v>
      </c>
      <c r="CJ27" s="80">
        <v>129</v>
      </c>
      <c r="CK27" s="81">
        <v>252</v>
      </c>
      <c r="CL27" s="84">
        <v>119</v>
      </c>
      <c r="CM27" s="84">
        <v>133</v>
      </c>
      <c r="CN27" s="81">
        <v>208</v>
      </c>
      <c r="CO27" s="80">
        <v>113</v>
      </c>
      <c r="CP27" s="80">
        <v>95</v>
      </c>
      <c r="CQ27" s="81">
        <v>212</v>
      </c>
      <c r="CR27" s="80">
        <v>108</v>
      </c>
      <c r="CS27" s="80">
        <v>104</v>
      </c>
      <c r="CT27" s="81">
        <v>176</v>
      </c>
      <c r="CU27" s="80">
        <v>89</v>
      </c>
      <c r="CV27" s="80">
        <v>87</v>
      </c>
      <c r="CW27" s="81">
        <v>136</v>
      </c>
      <c r="CX27" s="80">
        <v>72</v>
      </c>
      <c r="CY27" s="80">
        <v>64</v>
      </c>
    </row>
    <row r="28" spans="1:103" ht="18.75" customHeight="1" x14ac:dyDescent="0.15">
      <c r="A28" s="87" t="s">
        <v>151</v>
      </c>
      <c r="B28" s="83">
        <v>5231</v>
      </c>
      <c r="C28" s="83">
        <v>2713</v>
      </c>
      <c r="D28" s="83">
        <v>2518</v>
      </c>
      <c r="E28" s="81">
        <v>1887</v>
      </c>
      <c r="F28" s="81">
        <v>990</v>
      </c>
      <c r="G28" s="81">
        <v>897</v>
      </c>
      <c r="H28" s="83">
        <v>136</v>
      </c>
      <c r="I28" s="84">
        <v>66</v>
      </c>
      <c r="J28" s="84">
        <v>70</v>
      </c>
      <c r="K28" s="83">
        <v>150</v>
      </c>
      <c r="L28" s="86">
        <v>75</v>
      </c>
      <c r="M28" s="86">
        <v>75</v>
      </c>
      <c r="N28" s="83">
        <v>120</v>
      </c>
      <c r="O28" s="81">
        <v>66</v>
      </c>
      <c r="P28" s="81">
        <v>54</v>
      </c>
      <c r="Q28" s="83">
        <v>53</v>
      </c>
      <c r="R28" s="82">
        <v>22</v>
      </c>
      <c r="S28" s="82">
        <v>31</v>
      </c>
      <c r="T28" s="83">
        <v>109</v>
      </c>
      <c r="U28" s="80">
        <v>55</v>
      </c>
      <c r="V28" s="80">
        <v>54</v>
      </c>
      <c r="W28" s="83">
        <v>204</v>
      </c>
      <c r="X28" s="84">
        <v>107</v>
      </c>
      <c r="Y28" s="84">
        <v>97</v>
      </c>
      <c r="Z28" s="83">
        <v>101</v>
      </c>
      <c r="AA28" s="84">
        <v>52</v>
      </c>
      <c r="AB28" s="84">
        <v>49</v>
      </c>
      <c r="AC28" s="83">
        <v>67</v>
      </c>
      <c r="AD28" s="81">
        <v>34</v>
      </c>
      <c r="AE28" s="81">
        <v>33</v>
      </c>
      <c r="AF28" s="83">
        <v>122</v>
      </c>
      <c r="AG28" s="80">
        <v>66</v>
      </c>
      <c r="AH28" s="80">
        <v>56</v>
      </c>
      <c r="AI28" s="83">
        <v>130</v>
      </c>
      <c r="AJ28" s="80">
        <v>65</v>
      </c>
      <c r="AK28" s="80">
        <v>65</v>
      </c>
      <c r="AL28" s="83">
        <v>243</v>
      </c>
      <c r="AM28" s="84">
        <v>130</v>
      </c>
      <c r="AN28" s="84">
        <v>113</v>
      </c>
      <c r="AO28" s="83">
        <v>117</v>
      </c>
      <c r="AP28" s="81">
        <v>64</v>
      </c>
      <c r="AQ28" s="81">
        <v>53</v>
      </c>
      <c r="AR28" s="83">
        <v>100</v>
      </c>
      <c r="AS28" s="80">
        <v>54</v>
      </c>
      <c r="AT28" s="80">
        <v>46</v>
      </c>
      <c r="AU28" s="83">
        <v>235</v>
      </c>
      <c r="AV28" s="84">
        <v>134</v>
      </c>
      <c r="AW28" s="84">
        <v>101</v>
      </c>
      <c r="AX28" s="81">
        <v>3344</v>
      </c>
      <c r="AY28" s="81">
        <v>1723</v>
      </c>
      <c r="AZ28" s="81">
        <v>1621</v>
      </c>
      <c r="BA28" s="81">
        <v>225</v>
      </c>
      <c r="BB28" s="84">
        <v>115</v>
      </c>
      <c r="BC28" s="84">
        <v>110</v>
      </c>
      <c r="BD28" s="81">
        <v>123</v>
      </c>
      <c r="BE28" s="80">
        <v>66</v>
      </c>
      <c r="BF28" s="80">
        <v>57</v>
      </c>
      <c r="BG28" s="81">
        <v>139</v>
      </c>
      <c r="BH28" s="81">
        <v>75</v>
      </c>
      <c r="BI28" s="81">
        <v>64</v>
      </c>
      <c r="BJ28" s="81">
        <v>205</v>
      </c>
      <c r="BK28" s="80">
        <v>108</v>
      </c>
      <c r="BL28" s="80">
        <v>97</v>
      </c>
      <c r="BM28" s="81">
        <v>62</v>
      </c>
      <c r="BN28" s="81">
        <v>34</v>
      </c>
      <c r="BO28" s="81">
        <v>28</v>
      </c>
      <c r="BP28" s="81">
        <v>263</v>
      </c>
      <c r="BQ28" s="80">
        <v>135</v>
      </c>
      <c r="BR28" s="80">
        <v>128</v>
      </c>
      <c r="BS28" s="81">
        <v>119</v>
      </c>
      <c r="BT28" s="80">
        <v>66</v>
      </c>
      <c r="BU28" s="80">
        <v>53</v>
      </c>
      <c r="BV28" s="81">
        <v>213</v>
      </c>
      <c r="BW28" s="80">
        <v>123</v>
      </c>
      <c r="BX28" s="80">
        <v>90</v>
      </c>
      <c r="BY28" s="81">
        <v>162</v>
      </c>
      <c r="BZ28" s="85">
        <v>77</v>
      </c>
      <c r="CA28" s="85">
        <v>85</v>
      </c>
      <c r="CB28" s="81">
        <v>320</v>
      </c>
      <c r="CC28" s="80">
        <v>154</v>
      </c>
      <c r="CD28" s="80">
        <v>166</v>
      </c>
      <c r="CE28" s="81">
        <v>278</v>
      </c>
      <c r="CF28" s="80">
        <v>143</v>
      </c>
      <c r="CG28" s="80">
        <v>135</v>
      </c>
      <c r="CH28" s="81">
        <v>225</v>
      </c>
      <c r="CI28" s="80">
        <v>123</v>
      </c>
      <c r="CJ28" s="80">
        <v>102</v>
      </c>
      <c r="CK28" s="81">
        <v>274</v>
      </c>
      <c r="CL28" s="84">
        <v>145</v>
      </c>
      <c r="CM28" s="84">
        <v>129</v>
      </c>
      <c r="CN28" s="81">
        <v>207</v>
      </c>
      <c r="CO28" s="80">
        <v>103</v>
      </c>
      <c r="CP28" s="80">
        <v>104</v>
      </c>
      <c r="CQ28" s="81">
        <v>189</v>
      </c>
      <c r="CR28" s="80">
        <v>103</v>
      </c>
      <c r="CS28" s="80">
        <v>86</v>
      </c>
      <c r="CT28" s="81">
        <v>198</v>
      </c>
      <c r="CU28" s="80">
        <v>89</v>
      </c>
      <c r="CV28" s="80">
        <v>109</v>
      </c>
      <c r="CW28" s="81">
        <v>142</v>
      </c>
      <c r="CX28" s="80">
        <v>64</v>
      </c>
      <c r="CY28" s="80">
        <v>78</v>
      </c>
    </row>
    <row r="29" spans="1:103" ht="18.75" customHeight="1" x14ac:dyDescent="0.15">
      <c r="A29" s="87" t="s">
        <v>150</v>
      </c>
      <c r="B29" s="83">
        <v>5070</v>
      </c>
      <c r="C29" s="83">
        <v>2569</v>
      </c>
      <c r="D29" s="83">
        <v>2501</v>
      </c>
      <c r="E29" s="81">
        <v>1955</v>
      </c>
      <c r="F29" s="81">
        <v>969</v>
      </c>
      <c r="G29" s="81">
        <v>986</v>
      </c>
      <c r="H29" s="83">
        <v>183</v>
      </c>
      <c r="I29" s="84">
        <v>82</v>
      </c>
      <c r="J29" s="84">
        <v>101</v>
      </c>
      <c r="K29" s="83">
        <v>175</v>
      </c>
      <c r="L29" s="86">
        <v>81</v>
      </c>
      <c r="M29" s="86">
        <v>94</v>
      </c>
      <c r="N29" s="83">
        <v>138</v>
      </c>
      <c r="O29" s="81">
        <v>62</v>
      </c>
      <c r="P29" s="81">
        <v>76</v>
      </c>
      <c r="Q29" s="83">
        <v>59</v>
      </c>
      <c r="R29" s="82">
        <v>25</v>
      </c>
      <c r="S29" s="82">
        <v>34</v>
      </c>
      <c r="T29" s="83">
        <v>131</v>
      </c>
      <c r="U29" s="80">
        <v>67</v>
      </c>
      <c r="V29" s="80">
        <v>64</v>
      </c>
      <c r="W29" s="83">
        <v>191</v>
      </c>
      <c r="X29" s="84">
        <v>96</v>
      </c>
      <c r="Y29" s="84">
        <v>95</v>
      </c>
      <c r="Z29" s="83">
        <v>120</v>
      </c>
      <c r="AA29" s="84">
        <v>66</v>
      </c>
      <c r="AB29" s="84">
        <v>54</v>
      </c>
      <c r="AC29" s="83">
        <v>47</v>
      </c>
      <c r="AD29" s="81">
        <v>27</v>
      </c>
      <c r="AE29" s="81">
        <v>20</v>
      </c>
      <c r="AF29" s="83">
        <v>104</v>
      </c>
      <c r="AG29" s="80">
        <v>53</v>
      </c>
      <c r="AH29" s="80">
        <v>51</v>
      </c>
      <c r="AI29" s="83">
        <v>140</v>
      </c>
      <c r="AJ29" s="80">
        <v>70</v>
      </c>
      <c r="AK29" s="80">
        <v>70</v>
      </c>
      <c r="AL29" s="83">
        <v>271</v>
      </c>
      <c r="AM29" s="84">
        <v>136</v>
      </c>
      <c r="AN29" s="84">
        <v>135</v>
      </c>
      <c r="AO29" s="83">
        <v>106</v>
      </c>
      <c r="AP29" s="81">
        <v>62</v>
      </c>
      <c r="AQ29" s="81">
        <v>44</v>
      </c>
      <c r="AR29" s="83">
        <v>110</v>
      </c>
      <c r="AS29" s="80">
        <v>58</v>
      </c>
      <c r="AT29" s="80">
        <v>52</v>
      </c>
      <c r="AU29" s="83">
        <v>180</v>
      </c>
      <c r="AV29" s="84">
        <v>84</v>
      </c>
      <c r="AW29" s="84">
        <v>96</v>
      </c>
      <c r="AX29" s="81">
        <v>3115</v>
      </c>
      <c r="AY29" s="81">
        <v>1600</v>
      </c>
      <c r="AZ29" s="81">
        <v>1515</v>
      </c>
      <c r="BA29" s="81">
        <v>245</v>
      </c>
      <c r="BB29" s="84">
        <v>124</v>
      </c>
      <c r="BC29" s="84">
        <v>121</v>
      </c>
      <c r="BD29" s="81">
        <v>109</v>
      </c>
      <c r="BE29" s="80">
        <v>53</v>
      </c>
      <c r="BF29" s="80">
        <v>56</v>
      </c>
      <c r="BG29" s="81">
        <v>140</v>
      </c>
      <c r="BH29" s="81">
        <v>76</v>
      </c>
      <c r="BI29" s="81">
        <v>64</v>
      </c>
      <c r="BJ29" s="81">
        <v>187</v>
      </c>
      <c r="BK29" s="80">
        <v>98</v>
      </c>
      <c r="BL29" s="80">
        <v>89</v>
      </c>
      <c r="BM29" s="81">
        <v>59</v>
      </c>
      <c r="BN29" s="81">
        <v>32</v>
      </c>
      <c r="BO29" s="81">
        <v>27</v>
      </c>
      <c r="BP29" s="81">
        <v>255</v>
      </c>
      <c r="BQ29" s="80">
        <v>128</v>
      </c>
      <c r="BR29" s="80">
        <v>127</v>
      </c>
      <c r="BS29" s="81">
        <v>130</v>
      </c>
      <c r="BT29" s="80">
        <v>66</v>
      </c>
      <c r="BU29" s="80">
        <v>64</v>
      </c>
      <c r="BV29" s="81">
        <v>233</v>
      </c>
      <c r="BW29" s="80">
        <v>120</v>
      </c>
      <c r="BX29" s="80">
        <v>113</v>
      </c>
      <c r="BY29" s="81">
        <v>144</v>
      </c>
      <c r="BZ29" s="85">
        <v>63</v>
      </c>
      <c r="CA29" s="85">
        <v>81</v>
      </c>
      <c r="CB29" s="81">
        <v>248</v>
      </c>
      <c r="CC29" s="80">
        <v>125</v>
      </c>
      <c r="CD29" s="80">
        <v>123</v>
      </c>
      <c r="CE29" s="81">
        <v>250</v>
      </c>
      <c r="CF29" s="80">
        <v>144</v>
      </c>
      <c r="CG29" s="80">
        <v>106</v>
      </c>
      <c r="CH29" s="81">
        <v>242</v>
      </c>
      <c r="CI29" s="80">
        <v>133</v>
      </c>
      <c r="CJ29" s="80">
        <v>109</v>
      </c>
      <c r="CK29" s="81">
        <v>235</v>
      </c>
      <c r="CL29" s="84">
        <v>113</v>
      </c>
      <c r="CM29" s="84">
        <v>122</v>
      </c>
      <c r="CN29" s="81">
        <v>179</v>
      </c>
      <c r="CO29" s="80">
        <v>90</v>
      </c>
      <c r="CP29" s="80">
        <v>89</v>
      </c>
      <c r="CQ29" s="81">
        <v>175</v>
      </c>
      <c r="CR29" s="80">
        <v>88</v>
      </c>
      <c r="CS29" s="80">
        <v>87</v>
      </c>
      <c r="CT29" s="81">
        <v>149</v>
      </c>
      <c r="CU29" s="80">
        <v>75</v>
      </c>
      <c r="CV29" s="80">
        <v>74</v>
      </c>
      <c r="CW29" s="81">
        <v>135</v>
      </c>
      <c r="CX29" s="80">
        <v>72</v>
      </c>
      <c r="CY29" s="80">
        <v>63</v>
      </c>
    </row>
    <row r="30" spans="1:103" ht="18.75" customHeight="1" x14ac:dyDescent="0.15">
      <c r="A30" s="57" t="s">
        <v>196</v>
      </c>
      <c r="B30" s="78">
        <v>26777</v>
      </c>
      <c r="C30" s="78">
        <v>13686</v>
      </c>
      <c r="D30" s="78">
        <v>13091</v>
      </c>
      <c r="E30" s="78">
        <v>11012</v>
      </c>
      <c r="F30" s="78">
        <v>5603</v>
      </c>
      <c r="G30" s="78">
        <v>5409</v>
      </c>
      <c r="H30" s="78">
        <v>974</v>
      </c>
      <c r="I30" s="78">
        <v>488</v>
      </c>
      <c r="J30" s="78">
        <v>486</v>
      </c>
      <c r="K30" s="78">
        <v>1056</v>
      </c>
      <c r="L30" s="78">
        <v>527</v>
      </c>
      <c r="M30" s="78">
        <v>529</v>
      </c>
      <c r="N30" s="78">
        <v>804</v>
      </c>
      <c r="O30" s="78">
        <v>405</v>
      </c>
      <c r="P30" s="78">
        <v>399</v>
      </c>
      <c r="Q30" s="78">
        <v>368</v>
      </c>
      <c r="R30" s="78">
        <v>167</v>
      </c>
      <c r="S30" s="78">
        <v>201</v>
      </c>
      <c r="T30" s="78">
        <v>639</v>
      </c>
      <c r="U30" s="78">
        <v>322</v>
      </c>
      <c r="V30" s="78">
        <v>317</v>
      </c>
      <c r="W30" s="78">
        <v>1123</v>
      </c>
      <c r="X30" s="78">
        <v>540</v>
      </c>
      <c r="Y30" s="78">
        <v>583</v>
      </c>
      <c r="Z30" s="78">
        <v>608</v>
      </c>
      <c r="AA30" s="78">
        <v>315</v>
      </c>
      <c r="AB30" s="78">
        <v>293</v>
      </c>
      <c r="AC30" s="78">
        <v>411</v>
      </c>
      <c r="AD30" s="78">
        <v>211</v>
      </c>
      <c r="AE30" s="78">
        <v>200</v>
      </c>
      <c r="AF30" s="78">
        <v>638</v>
      </c>
      <c r="AG30" s="78">
        <v>337</v>
      </c>
      <c r="AH30" s="78">
        <v>301</v>
      </c>
      <c r="AI30" s="78">
        <v>824</v>
      </c>
      <c r="AJ30" s="78">
        <v>434</v>
      </c>
      <c r="AK30" s="78">
        <v>390</v>
      </c>
      <c r="AL30" s="78">
        <v>1391</v>
      </c>
      <c r="AM30" s="78">
        <v>706</v>
      </c>
      <c r="AN30" s="78">
        <v>685</v>
      </c>
      <c r="AO30" s="78">
        <v>607</v>
      </c>
      <c r="AP30" s="78">
        <v>349</v>
      </c>
      <c r="AQ30" s="78">
        <v>258</v>
      </c>
      <c r="AR30" s="78">
        <v>582</v>
      </c>
      <c r="AS30" s="78">
        <v>280</v>
      </c>
      <c r="AT30" s="78">
        <v>302</v>
      </c>
      <c r="AU30" s="78">
        <v>987</v>
      </c>
      <c r="AV30" s="78">
        <v>522</v>
      </c>
      <c r="AW30" s="78">
        <v>465</v>
      </c>
      <c r="AX30" s="78">
        <v>15765</v>
      </c>
      <c r="AY30" s="78">
        <v>8083</v>
      </c>
      <c r="AZ30" s="78">
        <v>7682</v>
      </c>
      <c r="BA30" s="78">
        <v>1379</v>
      </c>
      <c r="BB30" s="78">
        <v>716</v>
      </c>
      <c r="BC30" s="78">
        <v>663</v>
      </c>
      <c r="BD30" s="78">
        <v>705</v>
      </c>
      <c r="BE30" s="78">
        <v>364</v>
      </c>
      <c r="BF30" s="78">
        <v>341</v>
      </c>
      <c r="BG30" s="78">
        <v>806</v>
      </c>
      <c r="BH30" s="78">
        <v>430</v>
      </c>
      <c r="BI30" s="78">
        <v>376</v>
      </c>
      <c r="BJ30" s="78">
        <v>831</v>
      </c>
      <c r="BK30" s="78">
        <v>440</v>
      </c>
      <c r="BL30" s="78">
        <v>391</v>
      </c>
      <c r="BM30" s="78">
        <v>317</v>
      </c>
      <c r="BN30" s="78">
        <v>145</v>
      </c>
      <c r="BO30" s="78">
        <v>172</v>
      </c>
      <c r="BP30" s="78">
        <v>1522</v>
      </c>
      <c r="BQ30" s="78">
        <v>808</v>
      </c>
      <c r="BR30" s="78">
        <v>714</v>
      </c>
      <c r="BS30" s="78">
        <v>893</v>
      </c>
      <c r="BT30" s="78">
        <v>431</v>
      </c>
      <c r="BU30" s="78">
        <v>462</v>
      </c>
      <c r="BV30" s="78">
        <v>1194</v>
      </c>
      <c r="BW30" s="78">
        <v>577</v>
      </c>
      <c r="BX30" s="78">
        <v>617</v>
      </c>
      <c r="BY30" s="78">
        <v>753</v>
      </c>
      <c r="BZ30" s="78">
        <v>389</v>
      </c>
      <c r="CA30" s="78">
        <v>364</v>
      </c>
      <c r="CB30" s="78">
        <v>1047</v>
      </c>
      <c r="CC30" s="78">
        <v>557</v>
      </c>
      <c r="CD30" s="78">
        <v>490</v>
      </c>
      <c r="CE30" s="78">
        <v>850</v>
      </c>
      <c r="CF30" s="78">
        <v>437</v>
      </c>
      <c r="CG30" s="78">
        <v>413</v>
      </c>
      <c r="CH30" s="78">
        <v>1019</v>
      </c>
      <c r="CI30" s="78">
        <v>521</v>
      </c>
      <c r="CJ30" s="78">
        <v>498</v>
      </c>
      <c r="CK30" s="78">
        <v>1355</v>
      </c>
      <c r="CL30" s="78">
        <v>684</v>
      </c>
      <c r="CM30" s="78">
        <v>671</v>
      </c>
      <c r="CN30" s="78">
        <v>1096</v>
      </c>
      <c r="CO30" s="78">
        <v>566</v>
      </c>
      <c r="CP30" s="78">
        <v>530</v>
      </c>
      <c r="CQ30" s="78">
        <v>814</v>
      </c>
      <c r="CR30" s="78">
        <v>408</v>
      </c>
      <c r="CS30" s="78">
        <v>406</v>
      </c>
      <c r="CT30" s="78">
        <v>649</v>
      </c>
      <c r="CU30" s="78">
        <v>327</v>
      </c>
      <c r="CV30" s="78">
        <v>322</v>
      </c>
      <c r="CW30" s="78">
        <v>535</v>
      </c>
      <c r="CX30" s="78">
        <v>283</v>
      </c>
      <c r="CY30" s="78">
        <v>252</v>
      </c>
    </row>
    <row r="31" spans="1:103" ht="18.75" customHeight="1" x14ac:dyDescent="0.15">
      <c r="A31" s="87" t="s">
        <v>148</v>
      </c>
      <c r="B31" s="83">
        <v>4839</v>
      </c>
      <c r="C31" s="83">
        <v>2449</v>
      </c>
      <c r="D31" s="83">
        <v>2390</v>
      </c>
      <c r="E31" s="81">
        <v>1881</v>
      </c>
      <c r="F31" s="81">
        <v>926</v>
      </c>
      <c r="G31" s="81">
        <v>955</v>
      </c>
      <c r="H31" s="83">
        <v>178</v>
      </c>
      <c r="I31" s="84">
        <v>79</v>
      </c>
      <c r="J31" s="84">
        <v>99</v>
      </c>
      <c r="K31" s="83">
        <v>171</v>
      </c>
      <c r="L31" s="86">
        <v>88</v>
      </c>
      <c r="M31" s="86">
        <v>83</v>
      </c>
      <c r="N31" s="83">
        <v>134</v>
      </c>
      <c r="O31" s="81">
        <v>55</v>
      </c>
      <c r="P31" s="81">
        <v>79</v>
      </c>
      <c r="Q31" s="83">
        <v>57</v>
      </c>
      <c r="R31" s="82">
        <v>20</v>
      </c>
      <c r="S31" s="82">
        <v>37</v>
      </c>
      <c r="T31" s="83">
        <v>102</v>
      </c>
      <c r="U31" s="80">
        <v>50</v>
      </c>
      <c r="V31" s="80">
        <v>52</v>
      </c>
      <c r="W31" s="83">
        <v>189</v>
      </c>
      <c r="X31" s="84">
        <v>96</v>
      </c>
      <c r="Y31" s="84">
        <v>93</v>
      </c>
      <c r="Z31" s="83">
        <v>116</v>
      </c>
      <c r="AA31" s="84">
        <v>55</v>
      </c>
      <c r="AB31" s="84">
        <v>61</v>
      </c>
      <c r="AC31" s="83">
        <v>70</v>
      </c>
      <c r="AD31" s="81">
        <v>37</v>
      </c>
      <c r="AE31" s="81">
        <v>33</v>
      </c>
      <c r="AF31" s="83">
        <v>97</v>
      </c>
      <c r="AG31" s="80">
        <v>52</v>
      </c>
      <c r="AH31" s="80">
        <v>45</v>
      </c>
      <c r="AI31" s="83">
        <v>159</v>
      </c>
      <c r="AJ31" s="80">
        <v>81</v>
      </c>
      <c r="AK31" s="80">
        <v>78</v>
      </c>
      <c r="AL31" s="83">
        <v>201</v>
      </c>
      <c r="AM31" s="84">
        <v>98</v>
      </c>
      <c r="AN31" s="84">
        <v>103</v>
      </c>
      <c r="AO31" s="83">
        <v>107</v>
      </c>
      <c r="AP31" s="81">
        <v>67</v>
      </c>
      <c r="AQ31" s="81">
        <v>40</v>
      </c>
      <c r="AR31" s="83">
        <v>90</v>
      </c>
      <c r="AS31" s="80">
        <v>40</v>
      </c>
      <c r="AT31" s="80">
        <v>50</v>
      </c>
      <c r="AU31" s="83">
        <v>210</v>
      </c>
      <c r="AV31" s="84">
        <v>108</v>
      </c>
      <c r="AW31" s="84">
        <v>102</v>
      </c>
      <c r="AX31" s="81">
        <v>2958</v>
      </c>
      <c r="AY31" s="81">
        <v>1523</v>
      </c>
      <c r="AZ31" s="81">
        <v>1435</v>
      </c>
      <c r="BA31" s="81">
        <v>246</v>
      </c>
      <c r="BB31" s="84">
        <v>126</v>
      </c>
      <c r="BC31" s="84">
        <v>120</v>
      </c>
      <c r="BD31" s="81">
        <v>133</v>
      </c>
      <c r="BE31" s="80">
        <v>60</v>
      </c>
      <c r="BF31" s="80">
        <v>73</v>
      </c>
      <c r="BG31" s="81">
        <v>141</v>
      </c>
      <c r="BH31" s="81">
        <v>81</v>
      </c>
      <c r="BI31" s="81">
        <v>60</v>
      </c>
      <c r="BJ31" s="81">
        <v>164</v>
      </c>
      <c r="BK31" s="80">
        <v>81</v>
      </c>
      <c r="BL31" s="80">
        <v>83</v>
      </c>
      <c r="BM31" s="81">
        <v>47</v>
      </c>
      <c r="BN31" s="81">
        <v>23</v>
      </c>
      <c r="BO31" s="81">
        <v>24</v>
      </c>
      <c r="BP31" s="81">
        <v>248</v>
      </c>
      <c r="BQ31" s="80">
        <v>131</v>
      </c>
      <c r="BR31" s="80">
        <v>117</v>
      </c>
      <c r="BS31" s="81">
        <v>135</v>
      </c>
      <c r="BT31" s="80">
        <v>69</v>
      </c>
      <c r="BU31" s="80">
        <v>66</v>
      </c>
      <c r="BV31" s="81">
        <v>197</v>
      </c>
      <c r="BW31" s="80">
        <v>99</v>
      </c>
      <c r="BX31" s="80">
        <v>98</v>
      </c>
      <c r="BY31" s="81">
        <v>155</v>
      </c>
      <c r="BZ31" s="85">
        <v>82</v>
      </c>
      <c r="CA31" s="85">
        <v>73</v>
      </c>
      <c r="CB31" s="81">
        <v>223</v>
      </c>
      <c r="CC31" s="80">
        <v>114</v>
      </c>
      <c r="CD31" s="80">
        <v>109</v>
      </c>
      <c r="CE31" s="81">
        <v>205</v>
      </c>
      <c r="CF31" s="80">
        <v>104</v>
      </c>
      <c r="CG31" s="80">
        <v>101</v>
      </c>
      <c r="CH31" s="81">
        <v>208</v>
      </c>
      <c r="CI31" s="80">
        <v>101</v>
      </c>
      <c r="CJ31" s="80">
        <v>107</v>
      </c>
      <c r="CK31" s="81">
        <v>229</v>
      </c>
      <c r="CL31" s="84">
        <v>126</v>
      </c>
      <c r="CM31" s="84">
        <v>103</v>
      </c>
      <c r="CN31" s="81">
        <v>215</v>
      </c>
      <c r="CO31" s="80">
        <v>108</v>
      </c>
      <c r="CP31" s="80">
        <v>107</v>
      </c>
      <c r="CQ31" s="81">
        <v>170</v>
      </c>
      <c r="CR31" s="80">
        <v>92</v>
      </c>
      <c r="CS31" s="80">
        <v>78</v>
      </c>
      <c r="CT31" s="81">
        <v>123</v>
      </c>
      <c r="CU31" s="80">
        <v>64</v>
      </c>
      <c r="CV31" s="80">
        <v>59</v>
      </c>
      <c r="CW31" s="81">
        <v>119</v>
      </c>
      <c r="CX31" s="80">
        <v>62</v>
      </c>
      <c r="CY31" s="80">
        <v>57</v>
      </c>
    </row>
    <row r="32" spans="1:103" ht="18.75" customHeight="1" x14ac:dyDescent="0.15">
      <c r="A32" s="87" t="s">
        <v>147</v>
      </c>
      <c r="B32" s="83">
        <v>5106</v>
      </c>
      <c r="C32" s="83">
        <v>2659</v>
      </c>
      <c r="D32" s="83">
        <v>2447</v>
      </c>
      <c r="E32" s="81">
        <v>2040</v>
      </c>
      <c r="F32" s="81">
        <v>1029</v>
      </c>
      <c r="G32" s="81">
        <v>1011</v>
      </c>
      <c r="H32" s="83">
        <v>183</v>
      </c>
      <c r="I32" s="84">
        <v>87</v>
      </c>
      <c r="J32" s="84">
        <v>96</v>
      </c>
      <c r="K32" s="83">
        <v>221</v>
      </c>
      <c r="L32" s="86">
        <v>100</v>
      </c>
      <c r="M32" s="86">
        <v>121</v>
      </c>
      <c r="N32" s="83">
        <v>151</v>
      </c>
      <c r="O32" s="81">
        <v>84</v>
      </c>
      <c r="P32" s="81">
        <v>67</v>
      </c>
      <c r="Q32" s="83">
        <v>70</v>
      </c>
      <c r="R32" s="82">
        <v>33</v>
      </c>
      <c r="S32" s="82">
        <v>37</v>
      </c>
      <c r="T32" s="83">
        <v>116</v>
      </c>
      <c r="U32" s="80">
        <v>54</v>
      </c>
      <c r="V32" s="80">
        <v>62</v>
      </c>
      <c r="W32" s="83">
        <v>187</v>
      </c>
      <c r="X32" s="84">
        <v>105</v>
      </c>
      <c r="Y32" s="84">
        <v>82</v>
      </c>
      <c r="Z32" s="83">
        <v>109</v>
      </c>
      <c r="AA32" s="84">
        <v>57</v>
      </c>
      <c r="AB32" s="84">
        <v>52</v>
      </c>
      <c r="AC32" s="83">
        <v>73</v>
      </c>
      <c r="AD32" s="81">
        <v>33</v>
      </c>
      <c r="AE32" s="81">
        <v>40</v>
      </c>
      <c r="AF32" s="83">
        <v>112</v>
      </c>
      <c r="AG32" s="80">
        <v>61</v>
      </c>
      <c r="AH32" s="80">
        <v>51</v>
      </c>
      <c r="AI32" s="83">
        <v>144</v>
      </c>
      <c r="AJ32" s="80">
        <v>66</v>
      </c>
      <c r="AK32" s="80">
        <v>78</v>
      </c>
      <c r="AL32" s="83">
        <v>273</v>
      </c>
      <c r="AM32" s="84">
        <v>136</v>
      </c>
      <c r="AN32" s="84">
        <v>137</v>
      </c>
      <c r="AO32" s="83">
        <v>91</v>
      </c>
      <c r="AP32" s="81">
        <v>48</v>
      </c>
      <c r="AQ32" s="81">
        <v>43</v>
      </c>
      <c r="AR32" s="83">
        <v>131</v>
      </c>
      <c r="AS32" s="80">
        <v>68</v>
      </c>
      <c r="AT32" s="80">
        <v>63</v>
      </c>
      <c r="AU32" s="83">
        <v>179</v>
      </c>
      <c r="AV32" s="84">
        <v>97</v>
      </c>
      <c r="AW32" s="84">
        <v>82</v>
      </c>
      <c r="AX32" s="81">
        <v>3066</v>
      </c>
      <c r="AY32" s="81">
        <v>1630</v>
      </c>
      <c r="AZ32" s="81">
        <v>1436</v>
      </c>
      <c r="BA32" s="81">
        <v>265</v>
      </c>
      <c r="BB32" s="84">
        <v>139</v>
      </c>
      <c r="BC32" s="84">
        <v>126</v>
      </c>
      <c r="BD32" s="81">
        <v>124</v>
      </c>
      <c r="BE32" s="80">
        <v>64</v>
      </c>
      <c r="BF32" s="80">
        <v>60</v>
      </c>
      <c r="BG32" s="81">
        <v>147</v>
      </c>
      <c r="BH32" s="81">
        <v>83</v>
      </c>
      <c r="BI32" s="81">
        <v>64</v>
      </c>
      <c r="BJ32" s="81">
        <v>176</v>
      </c>
      <c r="BK32" s="80">
        <v>99</v>
      </c>
      <c r="BL32" s="80">
        <v>77</v>
      </c>
      <c r="BM32" s="81">
        <v>59</v>
      </c>
      <c r="BN32" s="81">
        <v>24</v>
      </c>
      <c r="BO32" s="81">
        <v>35</v>
      </c>
      <c r="BP32" s="81">
        <v>279</v>
      </c>
      <c r="BQ32" s="80">
        <v>155</v>
      </c>
      <c r="BR32" s="80">
        <v>124</v>
      </c>
      <c r="BS32" s="81">
        <v>178</v>
      </c>
      <c r="BT32" s="80">
        <v>103</v>
      </c>
      <c r="BU32" s="80">
        <v>75</v>
      </c>
      <c r="BV32" s="81">
        <v>227</v>
      </c>
      <c r="BW32" s="80">
        <v>113</v>
      </c>
      <c r="BX32" s="80">
        <v>114</v>
      </c>
      <c r="BY32" s="81">
        <v>159</v>
      </c>
      <c r="BZ32" s="85">
        <v>86</v>
      </c>
      <c r="CA32" s="85">
        <v>73</v>
      </c>
      <c r="CB32" s="81">
        <v>212</v>
      </c>
      <c r="CC32" s="80">
        <v>122</v>
      </c>
      <c r="CD32" s="80">
        <v>90</v>
      </c>
      <c r="CE32" s="81">
        <v>162</v>
      </c>
      <c r="CF32" s="80">
        <v>87</v>
      </c>
      <c r="CG32" s="80">
        <v>75</v>
      </c>
      <c r="CH32" s="81">
        <v>217</v>
      </c>
      <c r="CI32" s="80">
        <v>114</v>
      </c>
      <c r="CJ32" s="80">
        <v>103</v>
      </c>
      <c r="CK32" s="81">
        <v>269</v>
      </c>
      <c r="CL32" s="84">
        <v>131</v>
      </c>
      <c r="CM32" s="84">
        <v>138</v>
      </c>
      <c r="CN32" s="81">
        <v>196</v>
      </c>
      <c r="CO32" s="80">
        <v>94</v>
      </c>
      <c r="CP32" s="80">
        <v>102</v>
      </c>
      <c r="CQ32" s="81">
        <v>166</v>
      </c>
      <c r="CR32" s="80">
        <v>92</v>
      </c>
      <c r="CS32" s="80">
        <v>74</v>
      </c>
      <c r="CT32" s="81">
        <v>129</v>
      </c>
      <c r="CU32" s="80">
        <v>67</v>
      </c>
      <c r="CV32" s="80">
        <v>62</v>
      </c>
      <c r="CW32" s="81">
        <v>101</v>
      </c>
      <c r="CX32" s="80">
        <v>57</v>
      </c>
      <c r="CY32" s="80">
        <v>44</v>
      </c>
    </row>
    <row r="33" spans="1:103" ht="18.75" customHeight="1" x14ac:dyDescent="0.15">
      <c r="A33" s="87" t="s">
        <v>146</v>
      </c>
      <c r="B33" s="83">
        <v>5561</v>
      </c>
      <c r="C33" s="83">
        <v>2878</v>
      </c>
      <c r="D33" s="83">
        <v>2683</v>
      </c>
      <c r="E33" s="81">
        <v>2351</v>
      </c>
      <c r="F33" s="81">
        <v>1229</v>
      </c>
      <c r="G33" s="81">
        <v>1122</v>
      </c>
      <c r="H33" s="83">
        <v>194</v>
      </c>
      <c r="I33" s="84">
        <v>97</v>
      </c>
      <c r="J33" s="84">
        <v>97</v>
      </c>
      <c r="K33" s="83">
        <v>234</v>
      </c>
      <c r="L33" s="86">
        <v>117</v>
      </c>
      <c r="M33" s="86">
        <v>117</v>
      </c>
      <c r="N33" s="83">
        <v>176</v>
      </c>
      <c r="O33" s="81">
        <v>93</v>
      </c>
      <c r="P33" s="81">
        <v>83</v>
      </c>
      <c r="Q33" s="83">
        <v>68</v>
      </c>
      <c r="R33" s="82">
        <v>36</v>
      </c>
      <c r="S33" s="82">
        <v>32</v>
      </c>
      <c r="T33" s="83">
        <v>144</v>
      </c>
      <c r="U33" s="80">
        <v>78</v>
      </c>
      <c r="V33" s="80">
        <v>66</v>
      </c>
      <c r="W33" s="83">
        <v>224</v>
      </c>
      <c r="X33" s="84">
        <v>113</v>
      </c>
      <c r="Y33" s="84">
        <v>111</v>
      </c>
      <c r="Z33" s="83">
        <v>147</v>
      </c>
      <c r="AA33" s="84">
        <v>78</v>
      </c>
      <c r="AB33" s="84">
        <v>69</v>
      </c>
      <c r="AC33" s="83">
        <v>87</v>
      </c>
      <c r="AD33" s="81">
        <v>43</v>
      </c>
      <c r="AE33" s="81">
        <v>44</v>
      </c>
      <c r="AF33" s="83">
        <v>144</v>
      </c>
      <c r="AG33" s="80">
        <v>77</v>
      </c>
      <c r="AH33" s="80">
        <v>67</v>
      </c>
      <c r="AI33" s="83">
        <v>169</v>
      </c>
      <c r="AJ33" s="80">
        <v>100</v>
      </c>
      <c r="AK33" s="80">
        <v>69</v>
      </c>
      <c r="AL33" s="83">
        <v>314</v>
      </c>
      <c r="AM33" s="84">
        <v>170</v>
      </c>
      <c r="AN33" s="84">
        <v>144</v>
      </c>
      <c r="AO33" s="83">
        <v>142</v>
      </c>
      <c r="AP33" s="81">
        <v>76</v>
      </c>
      <c r="AQ33" s="81">
        <v>66</v>
      </c>
      <c r="AR33" s="83">
        <v>108</v>
      </c>
      <c r="AS33" s="80">
        <v>45</v>
      </c>
      <c r="AT33" s="80">
        <v>63</v>
      </c>
      <c r="AU33" s="83">
        <v>200</v>
      </c>
      <c r="AV33" s="84">
        <v>106</v>
      </c>
      <c r="AW33" s="84">
        <v>94</v>
      </c>
      <c r="AX33" s="81">
        <v>3210</v>
      </c>
      <c r="AY33" s="81">
        <v>1649</v>
      </c>
      <c r="AZ33" s="81">
        <v>1561</v>
      </c>
      <c r="BA33" s="81">
        <v>300</v>
      </c>
      <c r="BB33" s="84">
        <v>161</v>
      </c>
      <c r="BC33" s="84">
        <v>139</v>
      </c>
      <c r="BD33" s="81">
        <v>164</v>
      </c>
      <c r="BE33" s="80">
        <v>82</v>
      </c>
      <c r="BF33" s="80">
        <v>82</v>
      </c>
      <c r="BG33" s="81">
        <v>178</v>
      </c>
      <c r="BH33" s="81">
        <v>89</v>
      </c>
      <c r="BI33" s="81">
        <v>89</v>
      </c>
      <c r="BJ33" s="81">
        <v>157</v>
      </c>
      <c r="BK33" s="80">
        <v>77</v>
      </c>
      <c r="BL33" s="80">
        <v>80</v>
      </c>
      <c r="BM33" s="81">
        <v>78</v>
      </c>
      <c r="BN33" s="81">
        <v>42</v>
      </c>
      <c r="BO33" s="81">
        <v>36</v>
      </c>
      <c r="BP33" s="81">
        <v>300</v>
      </c>
      <c r="BQ33" s="80">
        <v>163</v>
      </c>
      <c r="BR33" s="80">
        <v>137</v>
      </c>
      <c r="BS33" s="81">
        <v>166</v>
      </c>
      <c r="BT33" s="80">
        <v>81</v>
      </c>
      <c r="BU33" s="80">
        <v>85</v>
      </c>
      <c r="BV33" s="81">
        <v>239</v>
      </c>
      <c r="BW33" s="80">
        <v>120</v>
      </c>
      <c r="BX33" s="80">
        <v>119</v>
      </c>
      <c r="BY33" s="81">
        <v>137</v>
      </c>
      <c r="BZ33" s="85">
        <v>65</v>
      </c>
      <c r="CA33" s="85">
        <v>72</v>
      </c>
      <c r="CB33" s="81">
        <v>231</v>
      </c>
      <c r="CC33" s="80">
        <v>131</v>
      </c>
      <c r="CD33" s="80">
        <v>100</v>
      </c>
      <c r="CE33" s="81">
        <v>182</v>
      </c>
      <c r="CF33" s="80">
        <v>92</v>
      </c>
      <c r="CG33" s="80">
        <v>90</v>
      </c>
      <c r="CH33" s="81">
        <v>181</v>
      </c>
      <c r="CI33" s="80">
        <v>85</v>
      </c>
      <c r="CJ33" s="80">
        <v>96</v>
      </c>
      <c r="CK33" s="81">
        <v>259</v>
      </c>
      <c r="CL33" s="84">
        <v>153</v>
      </c>
      <c r="CM33" s="84">
        <v>106</v>
      </c>
      <c r="CN33" s="81">
        <v>226</v>
      </c>
      <c r="CO33" s="80">
        <v>113</v>
      </c>
      <c r="CP33" s="80">
        <v>113</v>
      </c>
      <c r="CQ33" s="81">
        <v>151</v>
      </c>
      <c r="CR33" s="80">
        <v>71</v>
      </c>
      <c r="CS33" s="80">
        <v>80</v>
      </c>
      <c r="CT33" s="81">
        <v>134</v>
      </c>
      <c r="CU33" s="80">
        <v>56</v>
      </c>
      <c r="CV33" s="80">
        <v>78</v>
      </c>
      <c r="CW33" s="81">
        <v>127</v>
      </c>
      <c r="CX33" s="80">
        <v>68</v>
      </c>
      <c r="CY33" s="80">
        <v>59</v>
      </c>
    </row>
    <row r="34" spans="1:103" ht="18.75" customHeight="1" x14ac:dyDescent="0.15">
      <c r="A34" s="87" t="s">
        <v>145</v>
      </c>
      <c r="B34" s="83">
        <v>5267</v>
      </c>
      <c r="C34" s="83">
        <v>2716</v>
      </c>
      <c r="D34" s="83">
        <v>2551</v>
      </c>
      <c r="E34" s="81">
        <v>2252</v>
      </c>
      <c r="F34" s="81">
        <v>1168</v>
      </c>
      <c r="G34" s="81">
        <v>1084</v>
      </c>
      <c r="H34" s="83">
        <v>190</v>
      </c>
      <c r="I34" s="84">
        <v>105</v>
      </c>
      <c r="J34" s="84">
        <v>85</v>
      </c>
      <c r="K34" s="83">
        <v>208</v>
      </c>
      <c r="L34" s="86">
        <v>112</v>
      </c>
      <c r="M34" s="86">
        <v>96</v>
      </c>
      <c r="N34" s="83">
        <v>157</v>
      </c>
      <c r="O34" s="81">
        <v>71</v>
      </c>
      <c r="P34" s="81">
        <v>86</v>
      </c>
      <c r="Q34" s="83">
        <v>84</v>
      </c>
      <c r="R34" s="82">
        <v>37</v>
      </c>
      <c r="S34" s="82">
        <v>47</v>
      </c>
      <c r="T34" s="83">
        <v>130</v>
      </c>
      <c r="U34" s="80">
        <v>67</v>
      </c>
      <c r="V34" s="80">
        <v>63</v>
      </c>
      <c r="W34" s="83">
        <v>246</v>
      </c>
      <c r="X34" s="84">
        <v>113</v>
      </c>
      <c r="Y34" s="84">
        <v>133</v>
      </c>
      <c r="Z34" s="83">
        <v>111</v>
      </c>
      <c r="AA34" s="84">
        <v>58</v>
      </c>
      <c r="AB34" s="84">
        <v>53</v>
      </c>
      <c r="AC34" s="83">
        <v>78</v>
      </c>
      <c r="AD34" s="81">
        <v>48</v>
      </c>
      <c r="AE34" s="81">
        <v>30</v>
      </c>
      <c r="AF34" s="83">
        <v>127</v>
      </c>
      <c r="AG34" s="80">
        <v>60</v>
      </c>
      <c r="AH34" s="80">
        <v>67</v>
      </c>
      <c r="AI34" s="83">
        <v>178</v>
      </c>
      <c r="AJ34" s="80">
        <v>91</v>
      </c>
      <c r="AK34" s="80">
        <v>87</v>
      </c>
      <c r="AL34" s="83">
        <v>292</v>
      </c>
      <c r="AM34" s="84">
        <v>153</v>
      </c>
      <c r="AN34" s="84">
        <v>139</v>
      </c>
      <c r="AO34" s="83">
        <v>142</v>
      </c>
      <c r="AP34" s="81">
        <v>86</v>
      </c>
      <c r="AQ34" s="81">
        <v>56</v>
      </c>
      <c r="AR34" s="83">
        <v>123</v>
      </c>
      <c r="AS34" s="80">
        <v>64</v>
      </c>
      <c r="AT34" s="80">
        <v>59</v>
      </c>
      <c r="AU34" s="83">
        <v>186</v>
      </c>
      <c r="AV34" s="84">
        <v>103</v>
      </c>
      <c r="AW34" s="84">
        <v>83</v>
      </c>
      <c r="AX34" s="81">
        <v>3015</v>
      </c>
      <c r="AY34" s="81">
        <v>1548</v>
      </c>
      <c r="AZ34" s="81">
        <v>1467</v>
      </c>
      <c r="BA34" s="81">
        <v>255</v>
      </c>
      <c r="BB34" s="84">
        <v>135</v>
      </c>
      <c r="BC34" s="84">
        <v>120</v>
      </c>
      <c r="BD34" s="81">
        <v>136</v>
      </c>
      <c r="BE34" s="80">
        <v>81</v>
      </c>
      <c r="BF34" s="80">
        <v>55</v>
      </c>
      <c r="BG34" s="81">
        <v>152</v>
      </c>
      <c r="BH34" s="81">
        <v>78</v>
      </c>
      <c r="BI34" s="81">
        <v>74</v>
      </c>
      <c r="BJ34" s="81">
        <v>164</v>
      </c>
      <c r="BK34" s="80">
        <v>90</v>
      </c>
      <c r="BL34" s="80">
        <v>74</v>
      </c>
      <c r="BM34" s="81">
        <v>73</v>
      </c>
      <c r="BN34" s="81">
        <v>37</v>
      </c>
      <c r="BO34" s="81">
        <v>36</v>
      </c>
      <c r="BP34" s="81">
        <v>322</v>
      </c>
      <c r="BQ34" s="80">
        <v>179</v>
      </c>
      <c r="BR34" s="80">
        <v>143</v>
      </c>
      <c r="BS34" s="81">
        <v>169</v>
      </c>
      <c r="BT34" s="80">
        <v>71</v>
      </c>
      <c r="BU34" s="80">
        <v>98</v>
      </c>
      <c r="BV34" s="81">
        <v>248</v>
      </c>
      <c r="BW34" s="80">
        <v>112</v>
      </c>
      <c r="BX34" s="80">
        <v>136</v>
      </c>
      <c r="BY34" s="81">
        <v>140</v>
      </c>
      <c r="BZ34" s="85">
        <v>71</v>
      </c>
      <c r="CA34" s="85">
        <v>69</v>
      </c>
      <c r="CB34" s="81">
        <v>189</v>
      </c>
      <c r="CC34" s="80">
        <v>100</v>
      </c>
      <c r="CD34" s="80">
        <v>89</v>
      </c>
      <c r="CE34" s="81">
        <v>153</v>
      </c>
      <c r="CF34" s="80">
        <v>75</v>
      </c>
      <c r="CG34" s="80">
        <v>78</v>
      </c>
      <c r="CH34" s="81">
        <v>184</v>
      </c>
      <c r="CI34" s="80">
        <v>95</v>
      </c>
      <c r="CJ34" s="80">
        <v>89</v>
      </c>
      <c r="CK34" s="81">
        <v>256</v>
      </c>
      <c r="CL34" s="84">
        <v>125</v>
      </c>
      <c r="CM34" s="84">
        <v>131</v>
      </c>
      <c r="CN34" s="81">
        <v>197</v>
      </c>
      <c r="CO34" s="80">
        <v>105</v>
      </c>
      <c r="CP34" s="80">
        <v>92</v>
      </c>
      <c r="CQ34" s="81">
        <v>163</v>
      </c>
      <c r="CR34" s="80">
        <v>81</v>
      </c>
      <c r="CS34" s="80">
        <v>82</v>
      </c>
      <c r="CT34" s="81">
        <v>122</v>
      </c>
      <c r="CU34" s="80">
        <v>67</v>
      </c>
      <c r="CV34" s="80">
        <v>55</v>
      </c>
      <c r="CW34" s="81">
        <v>92</v>
      </c>
      <c r="CX34" s="80">
        <v>46</v>
      </c>
      <c r="CY34" s="80">
        <v>46</v>
      </c>
    </row>
    <row r="35" spans="1:103" ht="18.75" customHeight="1" x14ac:dyDescent="0.15">
      <c r="A35" s="87" t="s">
        <v>144</v>
      </c>
      <c r="B35" s="83">
        <v>6004</v>
      </c>
      <c r="C35" s="83">
        <v>2984</v>
      </c>
      <c r="D35" s="83">
        <v>3020</v>
      </c>
      <c r="E35" s="81">
        <v>2488</v>
      </c>
      <c r="F35" s="81">
        <v>1251</v>
      </c>
      <c r="G35" s="81">
        <v>1237</v>
      </c>
      <c r="H35" s="83">
        <v>229</v>
      </c>
      <c r="I35" s="84">
        <v>120</v>
      </c>
      <c r="J35" s="84">
        <v>109</v>
      </c>
      <c r="K35" s="83">
        <v>222</v>
      </c>
      <c r="L35" s="86">
        <v>110</v>
      </c>
      <c r="M35" s="86">
        <v>112</v>
      </c>
      <c r="N35" s="83">
        <v>186</v>
      </c>
      <c r="O35" s="81">
        <v>102</v>
      </c>
      <c r="P35" s="81">
        <v>84</v>
      </c>
      <c r="Q35" s="83">
        <v>89</v>
      </c>
      <c r="R35" s="82">
        <v>41</v>
      </c>
      <c r="S35" s="82">
        <v>48</v>
      </c>
      <c r="T35" s="83">
        <v>147</v>
      </c>
      <c r="U35" s="80">
        <v>73</v>
      </c>
      <c r="V35" s="80">
        <v>74</v>
      </c>
      <c r="W35" s="83">
        <v>277</v>
      </c>
      <c r="X35" s="84">
        <v>113</v>
      </c>
      <c r="Y35" s="84">
        <v>164</v>
      </c>
      <c r="Z35" s="83">
        <v>125</v>
      </c>
      <c r="AA35" s="84">
        <v>67</v>
      </c>
      <c r="AB35" s="84">
        <v>58</v>
      </c>
      <c r="AC35" s="83">
        <v>103</v>
      </c>
      <c r="AD35" s="81">
        <v>50</v>
      </c>
      <c r="AE35" s="81">
        <v>53</v>
      </c>
      <c r="AF35" s="83">
        <v>158</v>
      </c>
      <c r="AG35" s="80">
        <v>87</v>
      </c>
      <c r="AH35" s="80">
        <v>71</v>
      </c>
      <c r="AI35" s="83">
        <v>174</v>
      </c>
      <c r="AJ35" s="80">
        <v>96</v>
      </c>
      <c r="AK35" s="80">
        <v>78</v>
      </c>
      <c r="AL35" s="83">
        <v>311</v>
      </c>
      <c r="AM35" s="84">
        <v>149</v>
      </c>
      <c r="AN35" s="84">
        <v>162</v>
      </c>
      <c r="AO35" s="83">
        <v>125</v>
      </c>
      <c r="AP35" s="81">
        <v>72</v>
      </c>
      <c r="AQ35" s="81">
        <v>53</v>
      </c>
      <c r="AR35" s="83">
        <v>130</v>
      </c>
      <c r="AS35" s="80">
        <v>63</v>
      </c>
      <c r="AT35" s="80">
        <v>67</v>
      </c>
      <c r="AU35" s="83">
        <v>212</v>
      </c>
      <c r="AV35" s="84">
        <v>108</v>
      </c>
      <c r="AW35" s="84">
        <v>104</v>
      </c>
      <c r="AX35" s="81">
        <v>3516</v>
      </c>
      <c r="AY35" s="81">
        <v>1733</v>
      </c>
      <c r="AZ35" s="81">
        <v>1783</v>
      </c>
      <c r="BA35" s="81">
        <v>313</v>
      </c>
      <c r="BB35" s="84">
        <v>155</v>
      </c>
      <c r="BC35" s="84">
        <v>158</v>
      </c>
      <c r="BD35" s="81">
        <v>148</v>
      </c>
      <c r="BE35" s="80">
        <v>77</v>
      </c>
      <c r="BF35" s="80">
        <v>71</v>
      </c>
      <c r="BG35" s="81">
        <v>188</v>
      </c>
      <c r="BH35" s="81">
        <v>99</v>
      </c>
      <c r="BI35" s="81">
        <v>89</v>
      </c>
      <c r="BJ35" s="81">
        <v>170</v>
      </c>
      <c r="BK35" s="80">
        <v>93</v>
      </c>
      <c r="BL35" s="80">
        <v>77</v>
      </c>
      <c r="BM35" s="81">
        <v>60</v>
      </c>
      <c r="BN35" s="81">
        <v>19</v>
      </c>
      <c r="BO35" s="81">
        <v>41</v>
      </c>
      <c r="BP35" s="81">
        <v>373</v>
      </c>
      <c r="BQ35" s="80">
        <v>180</v>
      </c>
      <c r="BR35" s="80">
        <v>193</v>
      </c>
      <c r="BS35" s="81">
        <v>245</v>
      </c>
      <c r="BT35" s="80">
        <v>107</v>
      </c>
      <c r="BU35" s="80">
        <v>138</v>
      </c>
      <c r="BV35" s="81">
        <v>283</v>
      </c>
      <c r="BW35" s="80">
        <v>133</v>
      </c>
      <c r="BX35" s="80">
        <v>150</v>
      </c>
      <c r="BY35" s="81">
        <v>162</v>
      </c>
      <c r="BZ35" s="85">
        <v>85</v>
      </c>
      <c r="CA35" s="85">
        <v>77</v>
      </c>
      <c r="CB35" s="81">
        <v>192</v>
      </c>
      <c r="CC35" s="80">
        <v>90</v>
      </c>
      <c r="CD35" s="80">
        <v>102</v>
      </c>
      <c r="CE35" s="81">
        <v>148</v>
      </c>
      <c r="CF35" s="80">
        <v>79</v>
      </c>
      <c r="CG35" s="80">
        <v>69</v>
      </c>
      <c r="CH35" s="81">
        <v>229</v>
      </c>
      <c r="CI35" s="80">
        <v>126</v>
      </c>
      <c r="CJ35" s="80">
        <v>103</v>
      </c>
      <c r="CK35" s="81">
        <v>342</v>
      </c>
      <c r="CL35" s="84">
        <v>149</v>
      </c>
      <c r="CM35" s="84">
        <v>193</v>
      </c>
      <c r="CN35" s="81">
        <v>262</v>
      </c>
      <c r="CO35" s="80">
        <v>146</v>
      </c>
      <c r="CP35" s="80">
        <v>116</v>
      </c>
      <c r="CQ35" s="81">
        <v>164</v>
      </c>
      <c r="CR35" s="80">
        <v>72</v>
      </c>
      <c r="CS35" s="80">
        <v>92</v>
      </c>
      <c r="CT35" s="81">
        <v>141</v>
      </c>
      <c r="CU35" s="80">
        <v>73</v>
      </c>
      <c r="CV35" s="80">
        <v>68</v>
      </c>
      <c r="CW35" s="81">
        <v>96</v>
      </c>
      <c r="CX35" s="80">
        <v>50</v>
      </c>
      <c r="CY35" s="80">
        <v>46</v>
      </c>
    </row>
    <row r="36" spans="1:103" ht="18.75" customHeight="1" x14ac:dyDescent="0.15">
      <c r="A36" s="57" t="s">
        <v>195</v>
      </c>
      <c r="B36" s="78">
        <v>37330</v>
      </c>
      <c r="C36" s="78">
        <v>19299</v>
      </c>
      <c r="D36" s="78">
        <v>18031</v>
      </c>
      <c r="E36" s="78">
        <v>15873</v>
      </c>
      <c r="F36" s="78">
        <v>8283</v>
      </c>
      <c r="G36" s="78">
        <v>7590</v>
      </c>
      <c r="H36" s="78">
        <v>1299</v>
      </c>
      <c r="I36" s="78">
        <v>656</v>
      </c>
      <c r="J36" s="78">
        <v>643</v>
      </c>
      <c r="K36" s="78">
        <v>1610</v>
      </c>
      <c r="L36" s="78">
        <v>819</v>
      </c>
      <c r="M36" s="78">
        <v>791</v>
      </c>
      <c r="N36" s="78">
        <v>1052</v>
      </c>
      <c r="O36" s="78">
        <v>561</v>
      </c>
      <c r="P36" s="78">
        <v>491</v>
      </c>
      <c r="Q36" s="78">
        <v>487</v>
      </c>
      <c r="R36" s="78">
        <v>261</v>
      </c>
      <c r="S36" s="78">
        <v>226</v>
      </c>
      <c r="T36" s="78">
        <v>881</v>
      </c>
      <c r="U36" s="78">
        <v>448</v>
      </c>
      <c r="V36" s="78">
        <v>433</v>
      </c>
      <c r="W36" s="78">
        <v>2212</v>
      </c>
      <c r="X36" s="78">
        <v>1064</v>
      </c>
      <c r="Y36" s="78">
        <v>1148</v>
      </c>
      <c r="Z36" s="78">
        <v>881</v>
      </c>
      <c r="AA36" s="78">
        <v>453</v>
      </c>
      <c r="AB36" s="78">
        <v>428</v>
      </c>
      <c r="AC36" s="78">
        <v>575</v>
      </c>
      <c r="AD36" s="78">
        <v>331</v>
      </c>
      <c r="AE36" s="78">
        <v>244</v>
      </c>
      <c r="AF36" s="78">
        <v>936</v>
      </c>
      <c r="AG36" s="78">
        <v>525</v>
      </c>
      <c r="AH36" s="78">
        <v>411</v>
      </c>
      <c r="AI36" s="78">
        <v>1116</v>
      </c>
      <c r="AJ36" s="78">
        <v>577</v>
      </c>
      <c r="AK36" s="78">
        <v>539</v>
      </c>
      <c r="AL36" s="78">
        <v>1948</v>
      </c>
      <c r="AM36" s="78">
        <v>1037</v>
      </c>
      <c r="AN36" s="78">
        <v>911</v>
      </c>
      <c r="AO36" s="78">
        <v>754</v>
      </c>
      <c r="AP36" s="78">
        <v>439</v>
      </c>
      <c r="AQ36" s="78">
        <v>315</v>
      </c>
      <c r="AR36" s="78">
        <v>861</v>
      </c>
      <c r="AS36" s="78">
        <v>439</v>
      </c>
      <c r="AT36" s="78">
        <v>422</v>
      </c>
      <c r="AU36" s="78">
        <v>1261</v>
      </c>
      <c r="AV36" s="78">
        <v>673</v>
      </c>
      <c r="AW36" s="78">
        <v>588</v>
      </c>
      <c r="AX36" s="78">
        <v>21457</v>
      </c>
      <c r="AY36" s="78">
        <v>11016</v>
      </c>
      <c r="AZ36" s="78">
        <v>10441</v>
      </c>
      <c r="BA36" s="78">
        <v>1672</v>
      </c>
      <c r="BB36" s="78">
        <v>830</v>
      </c>
      <c r="BC36" s="78">
        <v>842</v>
      </c>
      <c r="BD36" s="78">
        <v>726</v>
      </c>
      <c r="BE36" s="78">
        <v>365</v>
      </c>
      <c r="BF36" s="78">
        <v>361</v>
      </c>
      <c r="BG36" s="78">
        <v>1268</v>
      </c>
      <c r="BH36" s="78">
        <v>673</v>
      </c>
      <c r="BI36" s="78">
        <v>595</v>
      </c>
      <c r="BJ36" s="78">
        <v>936</v>
      </c>
      <c r="BK36" s="78">
        <v>475</v>
      </c>
      <c r="BL36" s="78">
        <v>461</v>
      </c>
      <c r="BM36" s="78">
        <v>791</v>
      </c>
      <c r="BN36" s="78">
        <v>341</v>
      </c>
      <c r="BO36" s="78">
        <v>450</v>
      </c>
      <c r="BP36" s="78">
        <v>2625</v>
      </c>
      <c r="BQ36" s="78">
        <v>1427</v>
      </c>
      <c r="BR36" s="78">
        <v>1198</v>
      </c>
      <c r="BS36" s="78">
        <v>1606</v>
      </c>
      <c r="BT36" s="78">
        <v>941</v>
      </c>
      <c r="BU36" s="78">
        <v>665</v>
      </c>
      <c r="BV36" s="78">
        <v>2025</v>
      </c>
      <c r="BW36" s="78">
        <v>959</v>
      </c>
      <c r="BX36" s="78">
        <v>1066</v>
      </c>
      <c r="BY36" s="78">
        <v>980</v>
      </c>
      <c r="BZ36" s="78">
        <v>512</v>
      </c>
      <c r="CA36" s="78">
        <v>468</v>
      </c>
      <c r="CB36" s="78">
        <v>1041</v>
      </c>
      <c r="CC36" s="78">
        <v>527</v>
      </c>
      <c r="CD36" s="78">
        <v>514</v>
      </c>
      <c r="CE36" s="78">
        <v>714</v>
      </c>
      <c r="CF36" s="78">
        <v>364</v>
      </c>
      <c r="CG36" s="78">
        <v>350</v>
      </c>
      <c r="CH36" s="78">
        <v>1331</v>
      </c>
      <c r="CI36" s="78">
        <v>637</v>
      </c>
      <c r="CJ36" s="78">
        <v>694</v>
      </c>
      <c r="CK36" s="78">
        <v>1810</v>
      </c>
      <c r="CL36" s="78">
        <v>888</v>
      </c>
      <c r="CM36" s="78">
        <v>922</v>
      </c>
      <c r="CN36" s="78">
        <v>1691</v>
      </c>
      <c r="CO36" s="78">
        <v>879</v>
      </c>
      <c r="CP36" s="78">
        <v>812</v>
      </c>
      <c r="CQ36" s="78">
        <v>919</v>
      </c>
      <c r="CR36" s="78">
        <v>496</v>
      </c>
      <c r="CS36" s="78">
        <v>423</v>
      </c>
      <c r="CT36" s="78">
        <v>695</v>
      </c>
      <c r="CU36" s="78">
        <v>363</v>
      </c>
      <c r="CV36" s="78">
        <v>332</v>
      </c>
      <c r="CW36" s="78">
        <v>627</v>
      </c>
      <c r="CX36" s="78">
        <v>339</v>
      </c>
      <c r="CY36" s="78">
        <v>288</v>
      </c>
    </row>
    <row r="37" spans="1:103" ht="18.75" customHeight="1" x14ac:dyDescent="0.15">
      <c r="A37" s="87" t="s">
        <v>142</v>
      </c>
      <c r="B37" s="83">
        <v>7126</v>
      </c>
      <c r="C37" s="83">
        <v>3652</v>
      </c>
      <c r="D37" s="83">
        <v>3474</v>
      </c>
      <c r="E37" s="81">
        <v>3090</v>
      </c>
      <c r="F37" s="81">
        <v>1567</v>
      </c>
      <c r="G37" s="81">
        <v>1523</v>
      </c>
      <c r="H37" s="83">
        <v>260</v>
      </c>
      <c r="I37" s="84">
        <v>131</v>
      </c>
      <c r="J37" s="84">
        <v>129</v>
      </c>
      <c r="K37" s="83">
        <v>347</v>
      </c>
      <c r="L37" s="86">
        <v>174</v>
      </c>
      <c r="M37" s="86">
        <v>173</v>
      </c>
      <c r="N37" s="83">
        <v>189</v>
      </c>
      <c r="O37" s="81">
        <v>117</v>
      </c>
      <c r="P37" s="81">
        <v>72</v>
      </c>
      <c r="Q37" s="83">
        <v>91</v>
      </c>
      <c r="R37" s="82">
        <v>55</v>
      </c>
      <c r="S37" s="82">
        <v>36</v>
      </c>
      <c r="T37" s="83">
        <v>173</v>
      </c>
      <c r="U37" s="80">
        <v>95</v>
      </c>
      <c r="V37" s="80">
        <v>78</v>
      </c>
      <c r="W37" s="83">
        <v>389</v>
      </c>
      <c r="X37" s="84">
        <v>181</v>
      </c>
      <c r="Y37" s="84">
        <v>208</v>
      </c>
      <c r="Z37" s="83">
        <v>163</v>
      </c>
      <c r="AA37" s="84">
        <v>93</v>
      </c>
      <c r="AB37" s="84">
        <v>70</v>
      </c>
      <c r="AC37" s="83">
        <v>84</v>
      </c>
      <c r="AD37" s="81">
        <v>40</v>
      </c>
      <c r="AE37" s="81">
        <v>44</v>
      </c>
      <c r="AF37" s="83">
        <v>213</v>
      </c>
      <c r="AG37" s="80">
        <v>116</v>
      </c>
      <c r="AH37" s="80">
        <v>97</v>
      </c>
      <c r="AI37" s="83">
        <v>207</v>
      </c>
      <c r="AJ37" s="80">
        <v>105</v>
      </c>
      <c r="AK37" s="80">
        <v>102</v>
      </c>
      <c r="AL37" s="83">
        <v>370</v>
      </c>
      <c r="AM37" s="84">
        <v>182</v>
      </c>
      <c r="AN37" s="84">
        <v>188</v>
      </c>
      <c r="AO37" s="83">
        <v>186</v>
      </c>
      <c r="AP37" s="81">
        <v>95</v>
      </c>
      <c r="AQ37" s="81">
        <v>91</v>
      </c>
      <c r="AR37" s="83">
        <v>182</v>
      </c>
      <c r="AS37" s="80">
        <v>82</v>
      </c>
      <c r="AT37" s="80">
        <v>100</v>
      </c>
      <c r="AU37" s="83">
        <v>236</v>
      </c>
      <c r="AV37" s="84">
        <v>101</v>
      </c>
      <c r="AW37" s="84">
        <v>135</v>
      </c>
      <c r="AX37" s="81">
        <v>4036</v>
      </c>
      <c r="AY37" s="81">
        <v>2085</v>
      </c>
      <c r="AZ37" s="81">
        <v>1951</v>
      </c>
      <c r="BA37" s="81">
        <v>381</v>
      </c>
      <c r="BB37" s="84">
        <v>187</v>
      </c>
      <c r="BC37" s="84">
        <v>194</v>
      </c>
      <c r="BD37" s="81">
        <v>149</v>
      </c>
      <c r="BE37" s="80">
        <v>75</v>
      </c>
      <c r="BF37" s="80">
        <v>74</v>
      </c>
      <c r="BG37" s="81">
        <v>226</v>
      </c>
      <c r="BH37" s="81">
        <v>127</v>
      </c>
      <c r="BI37" s="81">
        <v>99</v>
      </c>
      <c r="BJ37" s="81">
        <v>198</v>
      </c>
      <c r="BK37" s="80">
        <v>98</v>
      </c>
      <c r="BL37" s="80">
        <v>100</v>
      </c>
      <c r="BM37" s="81">
        <v>96</v>
      </c>
      <c r="BN37" s="81">
        <v>43</v>
      </c>
      <c r="BO37" s="81">
        <v>53</v>
      </c>
      <c r="BP37" s="81">
        <v>474</v>
      </c>
      <c r="BQ37" s="80">
        <v>257</v>
      </c>
      <c r="BR37" s="80">
        <v>217</v>
      </c>
      <c r="BS37" s="81">
        <v>283</v>
      </c>
      <c r="BT37" s="80">
        <v>164</v>
      </c>
      <c r="BU37" s="80">
        <v>119</v>
      </c>
      <c r="BV37" s="81">
        <v>313</v>
      </c>
      <c r="BW37" s="80">
        <v>143</v>
      </c>
      <c r="BX37" s="80">
        <v>170</v>
      </c>
      <c r="BY37" s="81">
        <v>195</v>
      </c>
      <c r="BZ37" s="85">
        <v>104</v>
      </c>
      <c r="CA37" s="85">
        <v>91</v>
      </c>
      <c r="CB37" s="81">
        <v>214</v>
      </c>
      <c r="CC37" s="80">
        <v>117</v>
      </c>
      <c r="CD37" s="80">
        <v>97</v>
      </c>
      <c r="CE37" s="81">
        <v>158</v>
      </c>
      <c r="CF37" s="80">
        <v>82</v>
      </c>
      <c r="CG37" s="80">
        <v>76</v>
      </c>
      <c r="CH37" s="81">
        <v>232</v>
      </c>
      <c r="CI37" s="80">
        <v>112</v>
      </c>
      <c r="CJ37" s="80">
        <v>120</v>
      </c>
      <c r="CK37" s="81">
        <v>340</v>
      </c>
      <c r="CL37" s="84">
        <v>173</v>
      </c>
      <c r="CM37" s="84">
        <v>167</v>
      </c>
      <c r="CN37" s="81">
        <v>307</v>
      </c>
      <c r="CO37" s="80">
        <v>162</v>
      </c>
      <c r="CP37" s="80">
        <v>145</v>
      </c>
      <c r="CQ37" s="81">
        <v>172</v>
      </c>
      <c r="CR37" s="80">
        <v>98</v>
      </c>
      <c r="CS37" s="80">
        <v>74</v>
      </c>
      <c r="CT37" s="81">
        <v>153</v>
      </c>
      <c r="CU37" s="80">
        <v>75</v>
      </c>
      <c r="CV37" s="80">
        <v>78</v>
      </c>
      <c r="CW37" s="81">
        <v>145</v>
      </c>
      <c r="CX37" s="80">
        <v>68</v>
      </c>
      <c r="CY37" s="80">
        <v>77</v>
      </c>
    </row>
    <row r="38" spans="1:103" ht="18.75" customHeight="1" x14ac:dyDescent="0.15">
      <c r="A38" s="87" t="s">
        <v>141</v>
      </c>
      <c r="B38" s="83">
        <v>6981</v>
      </c>
      <c r="C38" s="83">
        <v>3625</v>
      </c>
      <c r="D38" s="83">
        <v>3356</v>
      </c>
      <c r="E38" s="81">
        <v>2936</v>
      </c>
      <c r="F38" s="81">
        <v>1542</v>
      </c>
      <c r="G38" s="81">
        <v>1394</v>
      </c>
      <c r="H38" s="83">
        <v>236</v>
      </c>
      <c r="I38" s="84">
        <v>118</v>
      </c>
      <c r="J38" s="84">
        <v>118</v>
      </c>
      <c r="K38" s="83">
        <v>288</v>
      </c>
      <c r="L38" s="86">
        <v>150</v>
      </c>
      <c r="M38" s="86">
        <v>138</v>
      </c>
      <c r="N38" s="83">
        <v>203</v>
      </c>
      <c r="O38" s="81">
        <v>100</v>
      </c>
      <c r="P38" s="81">
        <v>103</v>
      </c>
      <c r="Q38" s="83">
        <v>117</v>
      </c>
      <c r="R38" s="82">
        <v>68</v>
      </c>
      <c r="S38" s="82">
        <v>49</v>
      </c>
      <c r="T38" s="83">
        <v>165</v>
      </c>
      <c r="U38" s="80">
        <v>82</v>
      </c>
      <c r="V38" s="80">
        <v>83</v>
      </c>
      <c r="W38" s="83">
        <v>364</v>
      </c>
      <c r="X38" s="84">
        <v>172</v>
      </c>
      <c r="Y38" s="84">
        <v>192</v>
      </c>
      <c r="Z38" s="83">
        <v>137</v>
      </c>
      <c r="AA38" s="84">
        <v>66</v>
      </c>
      <c r="AB38" s="84">
        <v>71</v>
      </c>
      <c r="AC38" s="83">
        <v>112</v>
      </c>
      <c r="AD38" s="81">
        <v>66</v>
      </c>
      <c r="AE38" s="81">
        <v>46</v>
      </c>
      <c r="AF38" s="83">
        <v>177</v>
      </c>
      <c r="AG38" s="80">
        <v>104</v>
      </c>
      <c r="AH38" s="80">
        <v>73</v>
      </c>
      <c r="AI38" s="83">
        <v>221</v>
      </c>
      <c r="AJ38" s="80">
        <v>111</v>
      </c>
      <c r="AK38" s="80">
        <v>110</v>
      </c>
      <c r="AL38" s="83">
        <v>369</v>
      </c>
      <c r="AM38" s="84">
        <v>202</v>
      </c>
      <c r="AN38" s="84">
        <v>167</v>
      </c>
      <c r="AO38" s="83">
        <v>135</v>
      </c>
      <c r="AP38" s="81">
        <v>86</v>
      </c>
      <c r="AQ38" s="81">
        <v>49</v>
      </c>
      <c r="AR38" s="83">
        <v>174</v>
      </c>
      <c r="AS38" s="80">
        <v>91</v>
      </c>
      <c r="AT38" s="80">
        <v>83</v>
      </c>
      <c r="AU38" s="83">
        <v>238</v>
      </c>
      <c r="AV38" s="84">
        <v>126</v>
      </c>
      <c r="AW38" s="84">
        <v>112</v>
      </c>
      <c r="AX38" s="81">
        <v>4045</v>
      </c>
      <c r="AY38" s="81">
        <v>2083</v>
      </c>
      <c r="AZ38" s="81">
        <v>1962</v>
      </c>
      <c r="BA38" s="81">
        <v>319</v>
      </c>
      <c r="BB38" s="84">
        <v>179</v>
      </c>
      <c r="BC38" s="84">
        <v>140</v>
      </c>
      <c r="BD38" s="81">
        <v>146</v>
      </c>
      <c r="BE38" s="80">
        <v>83</v>
      </c>
      <c r="BF38" s="80">
        <v>63</v>
      </c>
      <c r="BG38" s="81">
        <v>227</v>
      </c>
      <c r="BH38" s="81">
        <v>122</v>
      </c>
      <c r="BI38" s="81">
        <v>105</v>
      </c>
      <c r="BJ38" s="81">
        <v>175</v>
      </c>
      <c r="BK38" s="80">
        <v>91</v>
      </c>
      <c r="BL38" s="80">
        <v>84</v>
      </c>
      <c r="BM38" s="81">
        <v>120</v>
      </c>
      <c r="BN38" s="81">
        <v>57</v>
      </c>
      <c r="BO38" s="81">
        <v>63</v>
      </c>
      <c r="BP38" s="81">
        <v>500</v>
      </c>
      <c r="BQ38" s="80">
        <v>261</v>
      </c>
      <c r="BR38" s="80">
        <v>239</v>
      </c>
      <c r="BS38" s="81">
        <v>326</v>
      </c>
      <c r="BT38" s="80">
        <v>187</v>
      </c>
      <c r="BU38" s="80">
        <v>139</v>
      </c>
      <c r="BV38" s="81">
        <v>341</v>
      </c>
      <c r="BW38" s="80">
        <v>145</v>
      </c>
      <c r="BX38" s="80">
        <v>196</v>
      </c>
      <c r="BY38" s="81">
        <v>186</v>
      </c>
      <c r="BZ38" s="85">
        <v>93</v>
      </c>
      <c r="CA38" s="85">
        <v>93</v>
      </c>
      <c r="CB38" s="81">
        <v>182</v>
      </c>
      <c r="CC38" s="80">
        <v>95</v>
      </c>
      <c r="CD38" s="80">
        <v>87</v>
      </c>
      <c r="CE38" s="81">
        <v>148</v>
      </c>
      <c r="CF38" s="80">
        <v>74</v>
      </c>
      <c r="CG38" s="80">
        <v>74</v>
      </c>
      <c r="CH38" s="81">
        <v>262</v>
      </c>
      <c r="CI38" s="80">
        <v>118</v>
      </c>
      <c r="CJ38" s="80">
        <v>144</v>
      </c>
      <c r="CK38" s="81">
        <v>347</v>
      </c>
      <c r="CL38" s="84">
        <v>159</v>
      </c>
      <c r="CM38" s="84">
        <v>188</v>
      </c>
      <c r="CN38" s="81">
        <v>335</v>
      </c>
      <c r="CO38" s="80">
        <v>177</v>
      </c>
      <c r="CP38" s="80">
        <v>158</v>
      </c>
      <c r="CQ38" s="81">
        <v>174</v>
      </c>
      <c r="CR38" s="80">
        <v>98</v>
      </c>
      <c r="CS38" s="80">
        <v>76</v>
      </c>
      <c r="CT38" s="81">
        <v>145</v>
      </c>
      <c r="CU38" s="80">
        <v>84</v>
      </c>
      <c r="CV38" s="80">
        <v>61</v>
      </c>
      <c r="CW38" s="81">
        <v>112</v>
      </c>
      <c r="CX38" s="80">
        <v>60</v>
      </c>
      <c r="CY38" s="80">
        <v>52</v>
      </c>
    </row>
    <row r="39" spans="1:103" ht="18.75" customHeight="1" x14ac:dyDescent="0.15">
      <c r="A39" s="87" t="s">
        <v>140</v>
      </c>
      <c r="B39" s="83">
        <v>7286</v>
      </c>
      <c r="C39" s="83">
        <v>3729</v>
      </c>
      <c r="D39" s="83">
        <v>3557</v>
      </c>
      <c r="E39" s="81">
        <v>3121</v>
      </c>
      <c r="F39" s="81">
        <v>1619</v>
      </c>
      <c r="G39" s="81">
        <v>1502</v>
      </c>
      <c r="H39" s="83">
        <v>252</v>
      </c>
      <c r="I39" s="84">
        <v>123</v>
      </c>
      <c r="J39" s="84">
        <v>129</v>
      </c>
      <c r="K39" s="83">
        <v>299</v>
      </c>
      <c r="L39" s="86">
        <v>143</v>
      </c>
      <c r="M39" s="86">
        <v>156</v>
      </c>
      <c r="N39" s="83">
        <v>211</v>
      </c>
      <c r="O39" s="81">
        <v>110</v>
      </c>
      <c r="P39" s="81">
        <v>101</v>
      </c>
      <c r="Q39" s="83">
        <v>93</v>
      </c>
      <c r="R39" s="82">
        <v>50</v>
      </c>
      <c r="S39" s="82">
        <v>43</v>
      </c>
      <c r="T39" s="83">
        <v>174</v>
      </c>
      <c r="U39" s="80">
        <v>99</v>
      </c>
      <c r="V39" s="80">
        <v>75</v>
      </c>
      <c r="W39" s="83">
        <v>473</v>
      </c>
      <c r="X39" s="84">
        <v>215</v>
      </c>
      <c r="Y39" s="84">
        <v>258</v>
      </c>
      <c r="Z39" s="83">
        <v>177</v>
      </c>
      <c r="AA39" s="84">
        <v>93</v>
      </c>
      <c r="AB39" s="84">
        <v>84</v>
      </c>
      <c r="AC39" s="83">
        <v>102</v>
      </c>
      <c r="AD39" s="81">
        <v>57</v>
      </c>
      <c r="AE39" s="81">
        <v>45</v>
      </c>
      <c r="AF39" s="83">
        <v>190</v>
      </c>
      <c r="AG39" s="80">
        <v>102</v>
      </c>
      <c r="AH39" s="80">
        <v>88</v>
      </c>
      <c r="AI39" s="83">
        <v>214</v>
      </c>
      <c r="AJ39" s="80">
        <v>117</v>
      </c>
      <c r="AK39" s="80">
        <v>97</v>
      </c>
      <c r="AL39" s="83">
        <v>390</v>
      </c>
      <c r="AM39" s="84">
        <v>210</v>
      </c>
      <c r="AN39" s="84">
        <v>180</v>
      </c>
      <c r="AO39" s="83">
        <v>145</v>
      </c>
      <c r="AP39" s="81">
        <v>79</v>
      </c>
      <c r="AQ39" s="81">
        <v>66</v>
      </c>
      <c r="AR39" s="83">
        <v>162</v>
      </c>
      <c r="AS39" s="80">
        <v>80</v>
      </c>
      <c r="AT39" s="80">
        <v>82</v>
      </c>
      <c r="AU39" s="83">
        <v>239</v>
      </c>
      <c r="AV39" s="84">
        <v>141</v>
      </c>
      <c r="AW39" s="84">
        <v>98</v>
      </c>
      <c r="AX39" s="81">
        <v>4165</v>
      </c>
      <c r="AY39" s="81">
        <v>2110</v>
      </c>
      <c r="AZ39" s="81">
        <v>2055</v>
      </c>
      <c r="BA39" s="81">
        <v>322</v>
      </c>
      <c r="BB39" s="84">
        <v>152</v>
      </c>
      <c r="BC39" s="84">
        <v>170</v>
      </c>
      <c r="BD39" s="81">
        <v>126</v>
      </c>
      <c r="BE39" s="80">
        <v>60</v>
      </c>
      <c r="BF39" s="80">
        <v>66</v>
      </c>
      <c r="BG39" s="81">
        <v>248</v>
      </c>
      <c r="BH39" s="81">
        <v>115</v>
      </c>
      <c r="BI39" s="81">
        <v>133</v>
      </c>
      <c r="BJ39" s="81">
        <v>180</v>
      </c>
      <c r="BK39" s="80">
        <v>95</v>
      </c>
      <c r="BL39" s="80">
        <v>85</v>
      </c>
      <c r="BM39" s="81">
        <v>160</v>
      </c>
      <c r="BN39" s="81">
        <v>68</v>
      </c>
      <c r="BO39" s="81">
        <v>92</v>
      </c>
      <c r="BP39" s="81">
        <v>531</v>
      </c>
      <c r="BQ39" s="80">
        <v>295</v>
      </c>
      <c r="BR39" s="80">
        <v>236</v>
      </c>
      <c r="BS39" s="81">
        <v>309</v>
      </c>
      <c r="BT39" s="80">
        <v>183</v>
      </c>
      <c r="BU39" s="80">
        <v>126</v>
      </c>
      <c r="BV39" s="81">
        <v>410</v>
      </c>
      <c r="BW39" s="80">
        <v>196</v>
      </c>
      <c r="BX39" s="80">
        <v>214</v>
      </c>
      <c r="BY39" s="81">
        <v>171</v>
      </c>
      <c r="BZ39" s="85">
        <v>80</v>
      </c>
      <c r="CA39" s="85">
        <v>91</v>
      </c>
      <c r="CB39" s="81">
        <v>189</v>
      </c>
      <c r="CC39" s="80">
        <v>89</v>
      </c>
      <c r="CD39" s="80">
        <v>100</v>
      </c>
      <c r="CE39" s="81">
        <v>149</v>
      </c>
      <c r="CF39" s="80">
        <v>84</v>
      </c>
      <c r="CG39" s="80">
        <v>65</v>
      </c>
      <c r="CH39" s="81">
        <v>255</v>
      </c>
      <c r="CI39" s="80">
        <v>130</v>
      </c>
      <c r="CJ39" s="80">
        <v>125</v>
      </c>
      <c r="CK39" s="81">
        <v>361</v>
      </c>
      <c r="CL39" s="84">
        <v>157</v>
      </c>
      <c r="CM39" s="84">
        <v>204</v>
      </c>
      <c r="CN39" s="81">
        <v>312</v>
      </c>
      <c r="CO39" s="80">
        <v>156</v>
      </c>
      <c r="CP39" s="80">
        <v>156</v>
      </c>
      <c r="CQ39" s="81">
        <v>176</v>
      </c>
      <c r="CR39" s="80">
        <v>102</v>
      </c>
      <c r="CS39" s="80">
        <v>74</v>
      </c>
      <c r="CT39" s="81">
        <v>135</v>
      </c>
      <c r="CU39" s="80">
        <v>72</v>
      </c>
      <c r="CV39" s="80">
        <v>63</v>
      </c>
      <c r="CW39" s="81">
        <v>131</v>
      </c>
      <c r="CX39" s="80">
        <v>76</v>
      </c>
      <c r="CY39" s="80">
        <v>55</v>
      </c>
    </row>
    <row r="40" spans="1:103" ht="18.75" customHeight="1" x14ac:dyDescent="0.15">
      <c r="A40" s="87" t="s">
        <v>139</v>
      </c>
      <c r="B40" s="83">
        <v>7750</v>
      </c>
      <c r="C40" s="83">
        <v>3962</v>
      </c>
      <c r="D40" s="83">
        <v>3788</v>
      </c>
      <c r="E40" s="81">
        <v>3299</v>
      </c>
      <c r="F40" s="81">
        <v>1727</v>
      </c>
      <c r="G40" s="81">
        <v>1572</v>
      </c>
      <c r="H40" s="83">
        <v>274</v>
      </c>
      <c r="I40" s="84">
        <v>137</v>
      </c>
      <c r="J40" s="84">
        <v>137</v>
      </c>
      <c r="K40" s="83">
        <v>319</v>
      </c>
      <c r="L40" s="86">
        <v>159</v>
      </c>
      <c r="M40" s="86">
        <v>160</v>
      </c>
      <c r="N40" s="83">
        <v>204</v>
      </c>
      <c r="O40" s="81">
        <v>115</v>
      </c>
      <c r="P40" s="81">
        <v>89</v>
      </c>
      <c r="Q40" s="83">
        <v>90</v>
      </c>
      <c r="R40" s="82">
        <v>41</v>
      </c>
      <c r="S40" s="82">
        <v>49</v>
      </c>
      <c r="T40" s="83">
        <v>184</v>
      </c>
      <c r="U40" s="80">
        <v>83</v>
      </c>
      <c r="V40" s="80">
        <v>101</v>
      </c>
      <c r="W40" s="83">
        <v>497</v>
      </c>
      <c r="X40" s="84">
        <v>239</v>
      </c>
      <c r="Y40" s="84">
        <v>258</v>
      </c>
      <c r="Z40" s="83">
        <v>193</v>
      </c>
      <c r="AA40" s="84">
        <v>103</v>
      </c>
      <c r="AB40" s="84">
        <v>90</v>
      </c>
      <c r="AC40" s="83">
        <v>146</v>
      </c>
      <c r="AD40" s="81">
        <v>86</v>
      </c>
      <c r="AE40" s="81">
        <v>60</v>
      </c>
      <c r="AF40" s="83">
        <v>177</v>
      </c>
      <c r="AG40" s="80">
        <v>101</v>
      </c>
      <c r="AH40" s="80">
        <v>76</v>
      </c>
      <c r="AI40" s="83">
        <v>219</v>
      </c>
      <c r="AJ40" s="80">
        <v>103</v>
      </c>
      <c r="AK40" s="80">
        <v>116</v>
      </c>
      <c r="AL40" s="83">
        <v>416</v>
      </c>
      <c r="AM40" s="84">
        <v>223</v>
      </c>
      <c r="AN40" s="84">
        <v>193</v>
      </c>
      <c r="AO40" s="83">
        <v>152</v>
      </c>
      <c r="AP40" s="81">
        <v>95</v>
      </c>
      <c r="AQ40" s="81">
        <v>57</v>
      </c>
      <c r="AR40" s="83">
        <v>168</v>
      </c>
      <c r="AS40" s="80">
        <v>94</v>
      </c>
      <c r="AT40" s="80">
        <v>74</v>
      </c>
      <c r="AU40" s="83">
        <v>260</v>
      </c>
      <c r="AV40" s="84">
        <v>148</v>
      </c>
      <c r="AW40" s="84">
        <v>112</v>
      </c>
      <c r="AX40" s="81">
        <v>4451</v>
      </c>
      <c r="AY40" s="81">
        <v>2235</v>
      </c>
      <c r="AZ40" s="81">
        <v>2216</v>
      </c>
      <c r="BA40" s="81">
        <v>320</v>
      </c>
      <c r="BB40" s="84">
        <v>143</v>
      </c>
      <c r="BC40" s="84">
        <v>177</v>
      </c>
      <c r="BD40" s="81">
        <v>145</v>
      </c>
      <c r="BE40" s="80">
        <v>78</v>
      </c>
      <c r="BF40" s="80">
        <v>67</v>
      </c>
      <c r="BG40" s="81">
        <v>277</v>
      </c>
      <c r="BH40" s="81">
        <v>149</v>
      </c>
      <c r="BI40" s="81">
        <v>128</v>
      </c>
      <c r="BJ40" s="81">
        <v>189</v>
      </c>
      <c r="BK40" s="80">
        <v>89</v>
      </c>
      <c r="BL40" s="80">
        <v>100</v>
      </c>
      <c r="BM40" s="81">
        <v>186</v>
      </c>
      <c r="BN40" s="81">
        <v>72</v>
      </c>
      <c r="BO40" s="81">
        <v>114</v>
      </c>
      <c r="BP40" s="81">
        <v>547</v>
      </c>
      <c r="BQ40" s="80">
        <v>297</v>
      </c>
      <c r="BR40" s="80">
        <v>250</v>
      </c>
      <c r="BS40" s="81">
        <v>324</v>
      </c>
      <c r="BT40" s="80">
        <v>179</v>
      </c>
      <c r="BU40" s="80">
        <v>145</v>
      </c>
      <c r="BV40" s="81">
        <v>425</v>
      </c>
      <c r="BW40" s="80">
        <v>195</v>
      </c>
      <c r="BX40" s="80">
        <v>230</v>
      </c>
      <c r="BY40" s="81">
        <v>216</v>
      </c>
      <c r="BZ40" s="85">
        <v>110</v>
      </c>
      <c r="CA40" s="85">
        <v>106</v>
      </c>
      <c r="CB40" s="81">
        <v>214</v>
      </c>
      <c r="CC40" s="80">
        <v>103</v>
      </c>
      <c r="CD40" s="80">
        <v>111</v>
      </c>
      <c r="CE40" s="81">
        <v>144</v>
      </c>
      <c r="CF40" s="80">
        <v>64</v>
      </c>
      <c r="CG40" s="80">
        <v>80</v>
      </c>
      <c r="CH40" s="81">
        <v>293</v>
      </c>
      <c r="CI40" s="80">
        <v>148</v>
      </c>
      <c r="CJ40" s="80">
        <v>145</v>
      </c>
      <c r="CK40" s="81">
        <v>370</v>
      </c>
      <c r="CL40" s="84">
        <v>197</v>
      </c>
      <c r="CM40" s="84">
        <v>173</v>
      </c>
      <c r="CN40" s="81">
        <v>355</v>
      </c>
      <c r="CO40" s="80">
        <v>184</v>
      </c>
      <c r="CP40" s="80">
        <v>171</v>
      </c>
      <c r="CQ40" s="81">
        <v>193</v>
      </c>
      <c r="CR40" s="80">
        <v>86</v>
      </c>
      <c r="CS40" s="80">
        <v>107</v>
      </c>
      <c r="CT40" s="81">
        <v>126</v>
      </c>
      <c r="CU40" s="80">
        <v>63</v>
      </c>
      <c r="CV40" s="80">
        <v>63</v>
      </c>
      <c r="CW40" s="81">
        <v>127</v>
      </c>
      <c r="CX40" s="80">
        <v>78</v>
      </c>
      <c r="CY40" s="80">
        <v>49</v>
      </c>
    </row>
    <row r="41" spans="1:103" ht="18.75" customHeight="1" x14ac:dyDescent="0.15">
      <c r="A41" s="87" t="s">
        <v>138</v>
      </c>
      <c r="B41" s="83">
        <v>8187</v>
      </c>
      <c r="C41" s="83">
        <v>4331</v>
      </c>
      <c r="D41" s="83">
        <v>3856</v>
      </c>
      <c r="E41" s="81">
        <v>3427</v>
      </c>
      <c r="F41" s="81">
        <v>1828</v>
      </c>
      <c r="G41" s="81">
        <v>1599</v>
      </c>
      <c r="H41" s="83">
        <v>277</v>
      </c>
      <c r="I41" s="84">
        <v>147</v>
      </c>
      <c r="J41" s="84">
        <v>130</v>
      </c>
      <c r="K41" s="83">
        <v>357</v>
      </c>
      <c r="L41" s="86">
        <v>193</v>
      </c>
      <c r="M41" s="86">
        <v>164</v>
      </c>
      <c r="N41" s="83">
        <v>245</v>
      </c>
      <c r="O41" s="81">
        <v>119</v>
      </c>
      <c r="P41" s="81">
        <v>126</v>
      </c>
      <c r="Q41" s="83">
        <v>96</v>
      </c>
      <c r="R41" s="82">
        <v>47</v>
      </c>
      <c r="S41" s="82">
        <v>49</v>
      </c>
      <c r="T41" s="83">
        <v>185</v>
      </c>
      <c r="U41" s="80">
        <v>89</v>
      </c>
      <c r="V41" s="80">
        <v>96</v>
      </c>
      <c r="W41" s="83">
        <v>489</v>
      </c>
      <c r="X41" s="84">
        <v>257</v>
      </c>
      <c r="Y41" s="84">
        <v>232</v>
      </c>
      <c r="Z41" s="83">
        <v>211</v>
      </c>
      <c r="AA41" s="84">
        <v>98</v>
      </c>
      <c r="AB41" s="84">
        <v>113</v>
      </c>
      <c r="AC41" s="83">
        <v>131</v>
      </c>
      <c r="AD41" s="81">
        <v>82</v>
      </c>
      <c r="AE41" s="81">
        <v>49</v>
      </c>
      <c r="AF41" s="83">
        <v>179</v>
      </c>
      <c r="AG41" s="80">
        <v>102</v>
      </c>
      <c r="AH41" s="80">
        <v>77</v>
      </c>
      <c r="AI41" s="83">
        <v>255</v>
      </c>
      <c r="AJ41" s="80">
        <v>141</v>
      </c>
      <c r="AK41" s="80">
        <v>114</v>
      </c>
      <c r="AL41" s="83">
        <v>403</v>
      </c>
      <c r="AM41" s="84">
        <v>220</v>
      </c>
      <c r="AN41" s="84">
        <v>183</v>
      </c>
      <c r="AO41" s="83">
        <v>136</v>
      </c>
      <c r="AP41" s="81">
        <v>84</v>
      </c>
      <c r="AQ41" s="81">
        <v>52</v>
      </c>
      <c r="AR41" s="83">
        <v>175</v>
      </c>
      <c r="AS41" s="80">
        <v>92</v>
      </c>
      <c r="AT41" s="80">
        <v>83</v>
      </c>
      <c r="AU41" s="83">
        <v>288</v>
      </c>
      <c r="AV41" s="84">
        <v>157</v>
      </c>
      <c r="AW41" s="84">
        <v>131</v>
      </c>
      <c r="AX41" s="81">
        <v>4760</v>
      </c>
      <c r="AY41" s="81">
        <v>2503</v>
      </c>
      <c r="AZ41" s="81">
        <v>2257</v>
      </c>
      <c r="BA41" s="81">
        <v>330</v>
      </c>
      <c r="BB41" s="84">
        <v>169</v>
      </c>
      <c r="BC41" s="84">
        <v>161</v>
      </c>
      <c r="BD41" s="81">
        <v>160</v>
      </c>
      <c r="BE41" s="80">
        <v>69</v>
      </c>
      <c r="BF41" s="80">
        <v>91</v>
      </c>
      <c r="BG41" s="81">
        <v>290</v>
      </c>
      <c r="BH41" s="81">
        <v>160</v>
      </c>
      <c r="BI41" s="81">
        <v>130</v>
      </c>
      <c r="BJ41" s="81">
        <v>194</v>
      </c>
      <c r="BK41" s="80">
        <v>102</v>
      </c>
      <c r="BL41" s="80">
        <v>92</v>
      </c>
      <c r="BM41" s="81">
        <v>229</v>
      </c>
      <c r="BN41" s="81">
        <v>101</v>
      </c>
      <c r="BO41" s="81">
        <v>128</v>
      </c>
      <c r="BP41" s="81">
        <v>573</v>
      </c>
      <c r="BQ41" s="80">
        <v>317</v>
      </c>
      <c r="BR41" s="80">
        <v>256</v>
      </c>
      <c r="BS41" s="81">
        <v>364</v>
      </c>
      <c r="BT41" s="80">
        <v>228</v>
      </c>
      <c r="BU41" s="80">
        <v>136</v>
      </c>
      <c r="BV41" s="81">
        <v>536</v>
      </c>
      <c r="BW41" s="80">
        <v>280</v>
      </c>
      <c r="BX41" s="80">
        <v>256</v>
      </c>
      <c r="BY41" s="81">
        <v>212</v>
      </c>
      <c r="BZ41" s="85">
        <v>125</v>
      </c>
      <c r="CA41" s="85">
        <v>87</v>
      </c>
      <c r="CB41" s="81">
        <v>242</v>
      </c>
      <c r="CC41" s="80">
        <v>123</v>
      </c>
      <c r="CD41" s="80">
        <v>119</v>
      </c>
      <c r="CE41" s="81">
        <v>115</v>
      </c>
      <c r="CF41" s="80">
        <v>60</v>
      </c>
      <c r="CG41" s="80">
        <v>55</v>
      </c>
      <c r="CH41" s="81">
        <v>289</v>
      </c>
      <c r="CI41" s="80">
        <v>129</v>
      </c>
      <c r="CJ41" s="80">
        <v>160</v>
      </c>
      <c r="CK41" s="81">
        <v>392</v>
      </c>
      <c r="CL41" s="84">
        <v>202</v>
      </c>
      <c r="CM41" s="84">
        <v>190</v>
      </c>
      <c r="CN41" s="81">
        <v>382</v>
      </c>
      <c r="CO41" s="80">
        <v>200</v>
      </c>
      <c r="CP41" s="80">
        <v>182</v>
      </c>
      <c r="CQ41" s="81">
        <v>204</v>
      </c>
      <c r="CR41" s="80">
        <v>112</v>
      </c>
      <c r="CS41" s="80">
        <v>92</v>
      </c>
      <c r="CT41" s="81">
        <v>136</v>
      </c>
      <c r="CU41" s="80">
        <v>69</v>
      </c>
      <c r="CV41" s="80">
        <v>67</v>
      </c>
      <c r="CW41" s="81">
        <v>112</v>
      </c>
      <c r="CX41" s="80">
        <v>57</v>
      </c>
      <c r="CY41" s="80">
        <v>55</v>
      </c>
    </row>
    <row r="42" spans="1:103" ht="18.75" customHeight="1" x14ac:dyDescent="0.15">
      <c r="A42" s="57" t="s">
        <v>194</v>
      </c>
      <c r="B42" s="78">
        <v>45284</v>
      </c>
      <c r="C42" s="78">
        <v>23373</v>
      </c>
      <c r="D42" s="78">
        <v>21911</v>
      </c>
      <c r="E42" s="78">
        <v>18863</v>
      </c>
      <c r="F42" s="78">
        <v>9978</v>
      </c>
      <c r="G42" s="78">
        <v>8885</v>
      </c>
      <c r="H42" s="78">
        <v>1825</v>
      </c>
      <c r="I42" s="78">
        <v>929</v>
      </c>
      <c r="J42" s="78">
        <v>896</v>
      </c>
      <c r="K42" s="78">
        <v>1921</v>
      </c>
      <c r="L42" s="78">
        <v>1029</v>
      </c>
      <c r="M42" s="78">
        <v>892</v>
      </c>
      <c r="N42" s="78">
        <v>1063</v>
      </c>
      <c r="O42" s="78">
        <v>606</v>
      </c>
      <c r="P42" s="78">
        <v>457</v>
      </c>
      <c r="Q42" s="78">
        <v>482</v>
      </c>
      <c r="R42" s="78">
        <v>252</v>
      </c>
      <c r="S42" s="78">
        <v>230</v>
      </c>
      <c r="T42" s="78">
        <v>1213</v>
      </c>
      <c r="U42" s="78">
        <v>610</v>
      </c>
      <c r="V42" s="78">
        <v>603</v>
      </c>
      <c r="W42" s="78">
        <v>3093</v>
      </c>
      <c r="X42" s="78">
        <v>1653</v>
      </c>
      <c r="Y42" s="78">
        <v>1440</v>
      </c>
      <c r="Z42" s="78">
        <v>1321</v>
      </c>
      <c r="AA42" s="78">
        <v>648</v>
      </c>
      <c r="AB42" s="78">
        <v>673</v>
      </c>
      <c r="AC42" s="78">
        <v>574</v>
      </c>
      <c r="AD42" s="78">
        <v>336</v>
      </c>
      <c r="AE42" s="78">
        <v>238</v>
      </c>
      <c r="AF42" s="78">
        <v>994</v>
      </c>
      <c r="AG42" s="78">
        <v>547</v>
      </c>
      <c r="AH42" s="78">
        <v>447</v>
      </c>
      <c r="AI42" s="78">
        <v>1271</v>
      </c>
      <c r="AJ42" s="78">
        <v>659</v>
      </c>
      <c r="AK42" s="78">
        <v>612</v>
      </c>
      <c r="AL42" s="78">
        <v>2035</v>
      </c>
      <c r="AM42" s="78">
        <v>1062</v>
      </c>
      <c r="AN42" s="78">
        <v>973</v>
      </c>
      <c r="AO42" s="78">
        <v>793</v>
      </c>
      <c r="AP42" s="78">
        <v>437</v>
      </c>
      <c r="AQ42" s="78">
        <v>356</v>
      </c>
      <c r="AR42" s="78">
        <v>827</v>
      </c>
      <c r="AS42" s="78">
        <v>468</v>
      </c>
      <c r="AT42" s="78">
        <v>359</v>
      </c>
      <c r="AU42" s="78">
        <v>1451</v>
      </c>
      <c r="AV42" s="78">
        <v>742</v>
      </c>
      <c r="AW42" s="78">
        <v>709</v>
      </c>
      <c r="AX42" s="78">
        <v>26421</v>
      </c>
      <c r="AY42" s="78">
        <v>13395</v>
      </c>
      <c r="AZ42" s="78">
        <v>13026</v>
      </c>
      <c r="BA42" s="78">
        <v>2059</v>
      </c>
      <c r="BB42" s="78">
        <v>973</v>
      </c>
      <c r="BC42" s="78">
        <v>1086</v>
      </c>
      <c r="BD42" s="78">
        <v>926</v>
      </c>
      <c r="BE42" s="78">
        <v>442</v>
      </c>
      <c r="BF42" s="78">
        <v>484</v>
      </c>
      <c r="BG42" s="78">
        <v>1574</v>
      </c>
      <c r="BH42" s="78">
        <v>804</v>
      </c>
      <c r="BI42" s="78">
        <v>770</v>
      </c>
      <c r="BJ42" s="78">
        <v>1028</v>
      </c>
      <c r="BK42" s="78">
        <v>507</v>
      </c>
      <c r="BL42" s="78">
        <v>521</v>
      </c>
      <c r="BM42" s="78">
        <v>1301</v>
      </c>
      <c r="BN42" s="78">
        <v>631</v>
      </c>
      <c r="BO42" s="78">
        <v>670</v>
      </c>
      <c r="BP42" s="78">
        <v>2547</v>
      </c>
      <c r="BQ42" s="78">
        <v>1441</v>
      </c>
      <c r="BR42" s="78">
        <v>1106</v>
      </c>
      <c r="BS42" s="78">
        <v>1714</v>
      </c>
      <c r="BT42" s="78">
        <v>975</v>
      </c>
      <c r="BU42" s="78">
        <v>739</v>
      </c>
      <c r="BV42" s="78">
        <v>3208</v>
      </c>
      <c r="BW42" s="78">
        <v>1596</v>
      </c>
      <c r="BX42" s="78">
        <v>1612</v>
      </c>
      <c r="BY42" s="78">
        <v>1135</v>
      </c>
      <c r="BZ42" s="78">
        <v>592</v>
      </c>
      <c r="CA42" s="78">
        <v>543</v>
      </c>
      <c r="CB42" s="78">
        <v>1470</v>
      </c>
      <c r="CC42" s="78">
        <v>727</v>
      </c>
      <c r="CD42" s="78">
        <v>743</v>
      </c>
      <c r="CE42" s="78">
        <v>463</v>
      </c>
      <c r="CF42" s="78">
        <v>242</v>
      </c>
      <c r="CG42" s="78">
        <v>221</v>
      </c>
      <c r="CH42" s="78">
        <v>2325</v>
      </c>
      <c r="CI42" s="78">
        <v>1106</v>
      </c>
      <c r="CJ42" s="78">
        <v>1219</v>
      </c>
      <c r="CK42" s="78">
        <v>2286</v>
      </c>
      <c r="CL42" s="78">
        <v>1137</v>
      </c>
      <c r="CM42" s="78">
        <v>1149</v>
      </c>
      <c r="CN42" s="78">
        <v>2013</v>
      </c>
      <c r="CO42" s="78">
        <v>1038</v>
      </c>
      <c r="CP42" s="78">
        <v>975</v>
      </c>
      <c r="CQ42" s="78">
        <v>1211</v>
      </c>
      <c r="CR42" s="78">
        <v>579</v>
      </c>
      <c r="CS42" s="78">
        <v>632</v>
      </c>
      <c r="CT42" s="78">
        <v>720</v>
      </c>
      <c r="CU42" s="78">
        <v>353</v>
      </c>
      <c r="CV42" s="78">
        <v>367</v>
      </c>
      <c r="CW42" s="78">
        <v>441</v>
      </c>
      <c r="CX42" s="78">
        <v>252</v>
      </c>
      <c r="CY42" s="78">
        <v>189</v>
      </c>
    </row>
    <row r="43" spans="1:103" ht="18.75" customHeight="1" x14ac:dyDescent="0.15">
      <c r="A43" s="87" t="s">
        <v>136</v>
      </c>
      <c r="B43" s="83">
        <v>8531</v>
      </c>
      <c r="C43" s="83">
        <v>4381</v>
      </c>
      <c r="D43" s="83">
        <v>4150</v>
      </c>
      <c r="E43" s="81">
        <v>3559</v>
      </c>
      <c r="F43" s="81">
        <v>1885</v>
      </c>
      <c r="G43" s="81">
        <v>1674</v>
      </c>
      <c r="H43" s="83">
        <v>304</v>
      </c>
      <c r="I43" s="84">
        <v>148</v>
      </c>
      <c r="J43" s="84">
        <v>156</v>
      </c>
      <c r="K43" s="83">
        <v>347</v>
      </c>
      <c r="L43" s="86">
        <v>179</v>
      </c>
      <c r="M43" s="86">
        <v>168</v>
      </c>
      <c r="N43" s="83">
        <v>213</v>
      </c>
      <c r="O43" s="81">
        <v>121</v>
      </c>
      <c r="P43" s="81">
        <v>92</v>
      </c>
      <c r="Q43" s="83">
        <v>88</v>
      </c>
      <c r="R43" s="82">
        <v>46</v>
      </c>
      <c r="S43" s="82">
        <v>42</v>
      </c>
      <c r="T43" s="83">
        <v>205</v>
      </c>
      <c r="U43" s="80">
        <v>105</v>
      </c>
      <c r="V43" s="80">
        <v>100</v>
      </c>
      <c r="W43" s="83">
        <v>629</v>
      </c>
      <c r="X43" s="84">
        <v>341</v>
      </c>
      <c r="Y43" s="84">
        <v>288</v>
      </c>
      <c r="Z43" s="83">
        <v>234</v>
      </c>
      <c r="AA43" s="84">
        <v>119</v>
      </c>
      <c r="AB43" s="84">
        <v>115</v>
      </c>
      <c r="AC43" s="83">
        <v>105</v>
      </c>
      <c r="AD43" s="81">
        <v>61</v>
      </c>
      <c r="AE43" s="81">
        <v>44</v>
      </c>
      <c r="AF43" s="83">
        <v>209</v>
      </c>
      <c r="AG43" s="80">
        <v>115</v>
      </c>
      <c r="AH43" s="80">
        <v>94</v>
      </c>
      <c r="AI43" s="83">
        <v>226</v>
      </c>
      <c r="AJ43" s="80">
        <v>125</v>
      </c>
      <c r="AK43" s="80">
        <v>101</v>
      </c>
      <c r="AL43" s="83">
        <v>403</v>
      </c>
      <c r="AM43" s="84">
        <v>208</v>
      </c>
      <c r="AN43" s="84">
        <v>195</v>
      </c>
      <c r="AO43" s="83">
        <v>152</v>
      </c>
      <c r="AP43" s="81">
        <v>91</v>
      </c>
      <c r="AQ43" s="81">
        <v>61</v>
      </c>
      <c r="AR43" s="83">
        <v>166</v>
      </c>
      <c r="AS43" s="80">
        <v>88</v>
      </c>
      <c r="AT43" s="80">
        <v>78</v>
      </c>
      <c r="AU43" s="83">
        <v>278</v>
      </c>
      <c r="AV43" s="84">
        <v>138</v>
      </c>
      <c r="AW43" s="84">
        <v>140</v>
      </c>
      <c r="AX43" s="81">
        <v>4972</v>
      </c>
      <c r="AY43" s="81">
        <v>2496</v>
      </c>
      <c r="AZ43" s="81">
        <v>2476</v>
      </c>
      <c r="BA43" s="81">
        <v>387</v>
      </c>
      <c r="BB43" s="84">
        <v>190</v>
      </c>
      <c r="BC43" s="84">
        <v>197</v>
      </c>
      <c r="BD43" s="81">
        <v>154</v>
      </c>
      <c r="BE43" s="80">
        <v>71</v>
      </c>
      <c r="BF43" s="80">
        <v>83</v>
      </c>
      <c r="BG43" s="81">
        <v>250</v>
      </c>
      <c r="BH43" s="81">
        <v>127</v>
      </c>
      <c r="BI43" s="81">
        <v>123</v>
      </c>
      <c r="BJ43" s="81">
        <v>186</v>
      </c>
      <c r="BK43" s="80">
        <v>89</v>
      </c>
      <c r="BL43" s="80">
        <v>97</v>
      </c>
      <c r="BM43" s="81">
        <v>228</v>
      </c>
      <c r="BN43" s="81">
        <v>109</v>
      </c>
      <c r="BO43" s="81">
        <v>119</v>
      </c>
      <c r="BP43" s="81">
        <v>538</v>
      </c>
      <c r="BQ43" s="80">
        <v>289</v>
      </c>
      <c r="BR43" s="80">
        <v>249</v>
      </c>
      <c r="BS43" s="81">
        <v>370</v>
      </c>
      <c r="BT43" s="80">
        <v>204</v>
      </c>
      <c r="BU43" s="80">
        <v>166</v>
      </c>
      <c r="BV43" s="81">
        <v>575</v>
      </c>
      <c r="BW43" s="80">
        <v>273</v>
      </c>
      <c r="BX43" s="80">
        <v>302</v>
      </c>
      <c r="BY43" s="81">
        <v>217</v>
      </c>
      <c r="BZ43" s="85">
        <v>120</v>
      </c>
      <c r="CA43" s="85">
        <v>97</v>
      </c>
      <c r="CB43" s="81">
        <v>264</v>
      </c>
      <c r="CC43" s="80">
        <v>115</v>
      </c>
      <c r="CD43" s="80">
        <v>149</v>
      </c>
      <c r="CE43" s="81">
        <v>114</v>
      </c>
      <c r="CF43" s="80">
        <v>62</v>
      </c>
      <c r="CG43" s="80">
        <v>52</v>
      </c>
      <c r="CH43" s="81">
        <v>374</v>
      </c>
      <c r="CI43" s="80">
        <v>172</v>
      </c>
      <c r="CJ43" s="80">
        <v>202</v>
      </c>
      <c r="CK43" s="81">
        <v>434</v>
      </c>
      <c r="CL43" s="84">
        <v>214</v>
      </c>
      <c r="CM43" s="84">
        <v>220</v>
      </c>
      <c r="CN43" s="81">
        <v>422</v>
      </c>
      <c r="CO43" s="80">
        <v>225</v>
      </c>
      <c r="CP43" s="80">
        <v>197</v>
      </c>
      <c r="CQ43" s="81">
        <v>215</v>
      </c>
      <c r="CR43" s="80">
        <v>106</v>
      </c>
      <c r="CS43" s="80">
        <v>109</v>
      </c>
      <c r="CT43" s="81">
        <v>145</v>
      </c>
      <c r="CU43" s="80">
        <v>67</v>
      </c>
      <c r="CV43" s="80">
        <v>78</v>
      </c>
      <c r="CW43" s="81">
        <v>99</v>
      </c>
      <c r="CX43" s="80">
        <v>63</v>
      </c>
      <c r="CY43" s="80">
        <v>36</v>
      </c>
    </row>
    <row r="44" spans="1:103" ht="18.75" customHeight="1" x14ac:dyDescent="0.15">
      <c r="A44" s="87" t="s">
        <v>135</v>
      </c>
      <c r="B44" s="83">
        <v>8834</v>
      </c>
      <c r="C44" s="83">
        <v>4570</v>
      </c>
      <c r="D44" s="83">
        <v>4264</v>
      </c>
      <c r="E44" s="81">
        <v>3779</v>
      </c>
      <c r="F44" s="81">
        <v>1997</v>
      </c>
      <c r="G44" s="81">
        <v>1782</v>
      </c>
      <c r="H44" s="83">
        <v>366</v>
      </c>
      <c r="I44" s="84">
        <v>185</v>
      </c>
      <c r="J44" s="84">
        <v>181</v>
      </c>
      <c r="K44" s="83">
        <v>377</v>
      </c>
      <c r="L44" s="86">
        <v>209</v>
      </c>
      <c r="M44" s="86">
        <v>168</v>
      </c>
      <c r="N44" s="83">
        <v>233</v>
      </c>
      <c r="O44" s="81">
        <v>129</v>
      </c>
      <c r="P44" s="81">
        <v>104</v>
      </c>
      <c r="Q44" s="83">
        <v>105</v>
      </c>
      <c r="R44" s="82">
        <v>54</v>
      </c>
      <c r="S44" s="82">
        <v>51</v>
      </c>
      <c r="T44" s="83">
        <v>254</v>
      </c>
      <c r="U44" s="80">
        <v>134</v>
      </c>
      <c r="V44" s="80">
        <v>120</v>
      </c>
      <c r="W44" s="83">
        <v>574</v>
      </c>
      <c r="X44" s="84">
        <v>309</v>
      </c>
      <c r="Y44" s="84">
        <v>265</v>
      </c>
      <c r="Z44" s="83">
        <v>239</v>
      </c>
      <c r="AA44" s="84">
        <v>109</v>
      </c>
      <c r="AB44" s="84">
        <v>130</v>
      </c>
      <c r="AC44" s="83">
        <v>137</v>
      </c>
      <c r="AD44" s="81">
        <v>82</v>
      </c>
      <c r="AE44" s="81">
        <v>55</v>
      </c>
      <c r="AF44" s="83">
        <v>209</v>
      </c>
      <c r="AG44" s="80">
        <v>116</v>
      </c>
      <c r="AH44" s="80">
        <v>93</v>
      </c>
      <c r="AI44" s="83">
        <v>250</v>
      </c>
      <c r="AJ44" s="80">
        <v>128</v>
      </c>
      <c r="AK44" s="80">
        <v>122</v>
      </c>
      <c r="AL44" s="83">
        <v>403</v>
      </c>
      <c r="AM44" s="84">
        <v>212</v>
      </c>
      <c r="AN44" s="84">
        <v>191</v>
      </c>
      <c r="AO44" s="83">
        <v>160</v>
      </c>
      <c r="AP44" s="81">
        <v>93</v>
      </c>
      <c r="AQ44" s="81">
        <v>67</v>
      </c>
      <c r="AR44" s="83">
        <v>173</v>
      </c>
      <c r="AS44" s="80">
        <v>82</v>
      </c>
      <c r="AT44" s="80">
        <v>91</v>
      </c>
      <c r="AU44" s="83">
        <v>299</v>
      </c>
      <c r="AV44" s="84">
        <v>155</v>
      </c>
      <c r="AW44" s="84">
        <v>144</v>
      </c>
      <c r="AX44" s="81">
        <v>5055</v>
      </c>
      <c r="AY44" s="81">
        <v>2573</v>
      </c>
      <c r="AZ44" s="81">
        <v>2482</v>
      </c>
      <c r="BA44" s="81">
        <v>343</v>
      </c>
      <c r="BB44" s="84">
        <v>158</v>
      </c>
      <c r="BC44" s="84">
        <v>185</v>
      </c>
      <c r="BD44" s="81">
        <v>164</v>
      </c>
      <c r="BE44" s="80">
        <v>75</v>
      </c>
      <c r="BF44" s="80">
        <v>89</v>
      </c>
      <c r="BG44" s="81">
        <v>289</v>
      </c>
      <c r="BH44" s="81">
        <v>153</v>
      </c>
      <c r="BI44" s="81">
        <v>136</v>
      </c>
      <c r="BJ44" s="81">
        <v>186</v>
      </c>
      <c r="BK44" s="80">
        <v>104</v>
      </c>
      <c r="BL44" s="80">
        <v>82</v>
      </c>
      <c r="BM44" s="81">
        <v>277</v>
      </c>
      <c r="BN44" s="81">
        <v>142</v>
      </c>
      <c r="BO44" s="81">
        <v>135</v>
      </c>
      <c r="BP44" s="81">
        <v>513</v>
      </c>
      <c r="BQ44" s="80">
        <v>285</v>
      </c>
      <c r="BR44" s="80">
        <v>228</v>
      </c>
      <c r="BS44" s="81">
        <v>304</v>
      </c>
      <c r="BT44" s="80">
        <v>160</v>
      </c>
      <c r="BU44" s="80">
        <v>144</v>
      </c>
      <c r="BV44" s="81">
        <v>653</v>
      </c>
      <c r="BW44" s="80">
        <v>319</v>
      </c>
      <c r="BX44" s="80">
        <v>334</v>
      </c>
      <c r="BY44" s="81">
        <v>227</v>
      </c>
      <c r="BZ44" s="85">
        <v>126</v>
      </c>
      <c r="CA44" s="85">
        <v>101</v>
      </c>
      <c r="CB44" s="81">
        <v>288</v>
      </c>
      <c r="CC44" s="80">
        <v>146</v>
      </c>
      <c r="CD44" s="80">
        <v>142</v>
      </c>
      <c r="CE44" s="81">
        <v>102</v>
      </c>
      <c r="CF44" s="80">
        <v>57</v>
      </c>
      <c r="CG44" s="80">
        <v>45</v>
      </c>
      <c r="CH44" s="81">
        <v>386</v>
      </c>
      <c r="CI44" s="80">
        <v>187</v>
      </c>
      <c r="CJ44" s="80">
        <v>199</v>
      </c>
      <c r="CK44" s="81">
        <v>444</v>
      </c>
      <c r="CL44" s="84">
        <v>223</v>
      </c>
      <c r="CM44" s="84">
        <v>221</v>
      </c>
      <c r="CN44" s="81">
        <v>385</v>
      </c>
      <c r="CO44" s="80">
        <v>190</v>
      </c>
      <c r="CP44" s="80">
        <v>195</v>
      </c>
      <c r="CQ44" s="81">
        <v>264</v>
      </c>
      <c r="CR44" s="80">
        <v>117</v>
      </c>
      <c r="CS44" s="80">
        <v>147</v>
      </c>
      <c r="CT44" s="81">
        <v>127</v>
      </c>
      <c r="CU44" s="80">
        <v>67</v>
      </c>
      <c r="CV44" s="80">
        <v>60</v>
      </c>
      <c r="CW44" s="81">
        <v>103</v>
      </c>
      <c r="CX44" s="80">
        <v>64</v>
      </c>
      <c r="CY44" s="80">
        <v>39</v>
      </c>
    </row>
    <row r="45" spans="1:103" ht="18.75" customHeight="1" x14ac:dyDescent="0.15">
      <c r="A45" s="87" t="s">
        <v>134</v>
      </c>
      <c r="B45" s="83">
        <v>9039</v>
      </c>
      <c r="C45" s="83">
        <v>4679</v>
      </c>
      <c r="D45" s="83">
        <v>4360</v>
      </c>
      <c r="E45" s="81">
        <v>3808</v>
      </c>
      <c r="F45" s="81">
        <v>1998</v>
      </c>
      <c r="G45" s="81">
        <v>1810</v>
      </c>
      <c r="H45" s="83">
        <v>351</v>
      </c>
      <c r="I45" s="84">
        <v>170</v>
      </c>
      <c r="J45" s="84">
        <v>181</v>
      </c>
      <c r="K45" s="83">
        <v>382</v>
      </c>
      <c r="L45" s="86">
        <v>207</v>
      </c>
      <c r="M45" s="86">
        <v>175</v>
      </c>
      <c r="N45" s="83">
        <v>211</v>
      </c>
      <c r="O45" s="81">
        <v>132</v>
      </c>
      <c r="P45" s="81">
        <v>79</v>
      </c>
      <c r="Q45" s="83">
        <v>128</v>
      </c>
      <c r="R45" s="82">
        <v>57</v>
      </c>
      <c r="S45" s="82">
        <v>71</v>
      </c>
      <c r="T45" s="83">
        <v>215</v>
      </c>
      <c r="U45" s="80">
        <v>108</v>
      </c>
      <c r="V45" s="80">
        <v>107</v>
      </c>
      <c r="W45" s="83">
        <v>653</v>
      </c>
      <c r="X45" s="84">
        <v>326</v>
      </c>
      <c r="Y45" s="84">
        <v>327</v>
      </c>
      <c r="Z45" s="83">
        <v>281</v>
      </c>
      <c r="AA45" s="84">
        <v>138</v>
      </c>
      <c r="AB45" s="84">
        <v>143</v>
      </c>
      <c r="AC45" s="83">
        <v>110</v>
      </c>
      <c r="AD45" s="81">
        <v>66</v>
      </c>
      <c r="AE45" s="81">
        <v>44</v>
      </c>
      <c r="AF45" s="83">
        <v>187</v>
      </c>
      <c r="AG45" s="80">
        <v>103</v>
      </c>
      <c r="AH45" s="80">
        <v>84</v>
      </c>
      <c r="AI45" s="83">
        <v>239</v>
      </c>
      <c r="AJ45" s="80">
        <v>124</v>
      </c>
      <c r="AK45" s="80">
        <v>115</v>
      </c>
      <c r="AL45" s="83">
        <v>425</v>
      </c>
      <c r="AM45" s="84">
        <v>216</v>
      </c>
      <c r="AN45" s="84">
        <v>209</v>
      </c>
      <c r="AO45" s="83">
        <v>163</v>
      </c>
      <c r="AP45" s="81">
        <v>85</v>
      </c>
      <c r="AQ45" s="81">
        <v>78</v>
      </c>
      <c r="AR45" s="83">
        <v>161</v>
      </c>
      <c r="AS45" s="80">
        <v>99</v>
      </c>
      <c r="AT45" s="80">
        <v>62</v>
      </c>
      <c r="AU45" s="83">
        <v>302</v>
      </c>
      <c r="AV45" s="84">
        <v>167</v>
      </c>
      <c r="AW45" s="84">
        <v>135</v>
      </c>
      <c r="AX45" s="81">
        <v>5231</v>
      </c>
      <c r="AY45" s="81">
        <v>2681</v>
      </c>
      <c r="AZ45" s="81">
        <v>2550</v>
      </c>
      <c r="BA45" s="81">
        <v>403</v>
      </c>
      <c r="BB45" s="84">
        <v>187</v>
      </c>
      <c r="BC45" s="84">
        <v>216</v>
      </c>
      <c r="BD45" s="81">
        <v>207</v>
      </c>
      <c r="BE45" s="80">
        <v>101</v>
      </c>
      <c r="BF45" s="80">
        <v>106</v>
      </c>
      <c r="BG45" s="81">
        <v>335</v>
      </c>
      <c r="BH45" s="81">
        <v>169</v>
      </c>
      <c r="BI45" s="81">
        <v>166</v>
      </c>
      <c r="BJ45" s="81">
        <v>211</v>
      </c>
      <c r="BK45" s="80">
        <v>97</v>
      </c>
      <c r="BL45" s="80">
        <v>114</v>
      </c>
      <c r="BM45" s="81">
        <v>256</v>
      </c>
      <c r="BN45" s="81">
        <v>117</v>
      </c>
      <c r="BO45" s="81">
        <v>139</v>
      </c>
      <c r="BP45" s="81">
        <v>514</v>
      </c>
      <c r="BQ45" s="80">
        <v>314</v>
      </c>
      <c r="BR45" s="80">
        <v>200</v>
      </c>
      <c r="BS45" s="81">
        <v>351</v>
      </c>
      <c r="BT45" s="80">
        <v>226</v>
      </c>
      <c r="BU45" s="80">
        <v>125</v>
      </c>
      <c r="BV45" s="81">
        <v>613</v>
      </c>
      <c r="BW45" s="80">
        <v>299</v>
      </c>
      <c r="BX45" s="80">
        <v>314</v>
      </c>
      <c r="BY45" s="81">
        <v>226</v>
      </c>
      <c r="BZ45" s="85">
        <v>114</v>
      </c>
      <c r="CA45" s="85">
        <v>112</v>
      </c>
      <c r="CB45" s="81">
        <v>267</v>
      </c>
      <c r="CC45" s="80">
        <v>128</v>
      </c>
      <c r="CD45" s="80">
        <v>139</v>
      </c>
      <c r="CE45" s="81">
        <v>68</v>
      </c>
      <c r="CF45" s="80">
        <v>41</v>
      </c>
      <c r="CG45" s="80">
        <v>27</v>
      </c>
      <c r="CH45" s="81">
        <v>472</v>
      </c>
      <c r="CI45" s="80">
        <v>223</v>
      </c>
      <c r="CJ45" s="80">
        <v>249</v>
      </c>
      <c r="CK45" s="81">
        <v>453</v>
      </c>
      <c r="CL45" s="84">
        <v>217</v>
      </c>
      <c r="CM45" s="84">
        <v>236</v>
      </c>
      <c r="CN45" s="81">
        <v>392</v>
      </c>
      <c r="CO45" s="80">
        <v>217</v>
      </c>
      <c r="CP45" s="80">
        <v>175</v>
      </c>
      <c r="CQ45" s="81">
        <v>239</v>
      </c>
      <c r="CR45" s="80">
        <v>116</v>
      </c>
      <c r="CS45" s="80">
        <v>123</v>
      </c>
      <c r="CT45" s="81">
        <v>142</v>
      </c>
      <c r="CU45" s="80">
        <v>75</v>
      </c>
      <c r="CV45" s="80">
        <v>67</v>
      </c>
      <c r="CW45" s="81">
        <v>82</v>
      </c>
      <c r="CX45" s="80">
        <v>40</v>
      </c>
      <c r="CY45" s="80">
        <v>42</v>
      </c>
    </row>
    <row r="46" spans="1:103" ht="18.75" customHeight="1" x14ac:dyDescent="0.15">
      <c r="A46" s="87" t="s">
        <v>133</v>
      </c>
      <c r="B46" s="83">
        <v>9490</v>
      </c>
      <c r="C46" s="83">
        <v>4893</v>
      </c>
      <c r="D46" s="83">
        <v>4597</v>
      </c>
      <c r="E46" s="81">
        <v>3892</v>
      </c>
      <c r="F46" s="81">
        <v>2064</v>
      </c>
      <c r="G46" s="81">
        <v>1828</v>
      </c>
      <c r="H46" s="83">
        <v>376</v>
      </c>
      <c r="I46" s="84">
        <v>199</v>
      </c>
      <c r="J46" s="84">
        <v>177</v>
      </c>
      <c r="K46" s="83">
        <v>398</v>
      </c>
      <c r="L46" s="86">
        <v>210</v>
      </c>
      <c r="M46" s="86">
        <v>188</v>
      </c>
      <c r="N46" s="83">
        <v>230</v>
      </c>
      <c r="O46" s="81">
        <v>122</v>
      </c>
      <c r="P46" s="81">
        <v>108</v>
      </c>
      <c r="Q46" s="83">
        <v>72</v>
      </c>
      <c r="R46" s="82">
        <v>46</v>
      </c>
      <c r="S46" s="82">
        <v>26</v>
      </c>
      <c r="T46" s="83">
        <v>290</v>
      </c>
      <c r="U46" s="80">
        <v>143</v>
      </c>
      <c r="V46" s="80">
        <v>147</v>
      </c>
      <c r="W46" s="83">
        <v>624</v>
      </c>
      <c r="X46" s="84">
        <v>335</v>
      </c>
      <c r="Y46" s="84">
        <v>289</v>
      </c>
      <c r="Z46" s="83">
        <v>271</v>
      </c>
      <c r="AA46" s="84">
        <v>138</v>
      </c>
      <c r="AB46" s="84">
        <v>133</v>
      </c>
      <c r="AC46" s="83">
        <v>108</v>
      </c>
      <c r="AD46" s="81">
        <v>60</v>
      </c>
      <c r="AE46" s="81">
        <v>48</v>
      </c>
      <c r="AF46" s="83">
        <v>220</v>
      </c>
      <c r="AG46" s="80">
        <v>124</v>
      </c>
      <c r="AH46" s="80">
        <v>96</v>
      </c>
      <c r="AI46" s="83">
        <v>286</v>
      </c>
      <c r="AJ46" s="80">
        <v>145</v>
      </c>
      <c r="AK46" s="80">
        <v>141</v>
      </c>
      <c r="AL46" s="83">
        <v>429</v>
      </c>
      <c r="AM46" s="84">
        <v>239</v>
      </c>
      <c r="AN46" s="84">
        <v>190</v>
      </c>
      <c r="AO46" s="83">
        <v>160</v>
      </c>
      <c r="AP46" s="81">
        <v>83</v>
      </c>
      <c r="AQ46" s="81">
        <v>77</v>
      </c>
      <c r="AR46" s="83">
        <v>164</v>
      </c>
      <c r="AS46" s="80">
        <v>101</v>
      </c>
      <c r="AT46" s="80">
        <v>63</v>
      </c>
      <c r="AU46" s="83">
        <v>264</v>
      </c>
      <c r="AV46" s="84">
        <v>119</v>
      </c>
      <c r="AW46" s="84">
        <v>145</v>
      </c>
      <c r="AX46" s="81">
        <v>5598</v>
      </c>
      <c r="AY46" s="81">
        <v>2829</v>
      </c>
      <c r="AZ46" s="81">
        <v>2769</v>
      </c>
      <c r="BA46" s="81">
        <v>456</v>
      </c>
      <c r="BB46" s="84">
        <v>219</v>
      </c>
      <c r="BC46" s="84">
        <v>237</v>
      </c>
      <c r="BD46" s="81">
        <v>214</v>
      </c>
      <c r="BE46" s="80">
        <v>102</v>
      </c>
      <c r="BF46" s="80">
        <v>112</v>
      </c>
      <c r="BG46" s="81">
        <v>340</v>
      </c>
      <c r="BH46" s="81">
        <v>175</v>
      </c>
      <c r="BI46" s="81">
        <v>165</v>
      </c>
      <c r="BJ46" s="81">
        <v>235</v>
      </c>
      <c r="BK46" s="80">
        <v>115</v>
      </c>
      <c r="BL46" s="80">
        <v>120</v>
      </c>
      <c r="BM46" s="81">
        <v>285</v>
      </c>
      <c r="BN46" s="81">
        <v>142</v>
      </c>
      <c r="BO46" s="81">
        <v>143</v>
      </c>
      <c r="BP46" s="81">
        <v>491</v>
      </c>
      <c r="BQ46" s="80">
        <v>277</v>
      </c>
      <c r="BR46" s="80">
        <v>214</v>
      </c>
      <c r="BS46" s="81">
        <v>349</v>
      </c>
      <c r="BT46" s="80">
        <v>195</v>
      </c>
      <c r="BU46" s="80">
        <v>154</v>
      </c>
      <c r="BV46" s="81">
        <v>674</v>
      </c>
      <c r="BW46" s="80">
        <v>350</v>
      </c>
      <c r="BX46" s="80">
        <v>324</v>
      </c>
      <c r="BY46" s="81">
        <v>244</v>
      </c>
      <c r="BZ46" s="85">
        <v>118</v>
      </c>
      <c r="CA46" s="85">
        <v>126</v>
      </c>
      <c r="CB46" s="81">
        <v>329</v>
      </c>
      <c r="CC46" s="80">
        <v>164</v>
      </c>
      <c r="CD46" s="80">
        <v>165</v>
      </c>
      <c r="CE46" s="81">
        <v>91</v>
      </c>
      <c r="CF46" s="80">
        <v>41</v>
      </c>
      <c r="CG46" s="80">
        <v>50</v>
      </c>
      <c r="CH46" s="81">
        <v>517</v>
      </c>
      <c r="CI46" s="80">
        <v>251</v>
      </c>
      <c r="CJ46" s="80">
        <v>266</v>
      </c>
      <c r="CK46" s="81">
        <v>496</v>
      </c>
      <c r="CL46" s="84">
        <v>251</v>
      </c>
      <c r="CM46" s="84">
        <v>245</v>
      </c>
      <c r="CN46" s="81">
        <v>387</v>
      </c>
      <c r="CO46" s="80">
        <v>192</v>
      </c>
      <c r="CP46" s="80">
        <v>195</v>
      </c>
      <c r="CQ46" s="81">
        <v>254</v>
      </c>
      <c r="CR46" s="80">
        <v>127</v>
      </c>
      <c r="CS46" s="80">
        <v>127</v>
      </c>
      <c r="CT46" s="81">
        <v>162</v>
      </c>
      <c r="CU46" s="80">
        <v>74</v>
      </c>
      <c r="CV46" s="80">
        <v>88</v>
      </c>
      <c r="CW46" s="81">
        <v>74</v>
      </c>
      <c r="CX46" s="80">
        <v>36</v>
      </c>
      <c r="CY46" s="80">
        <v>38</v>
      </c>
    </row>
    <row r="47" spans="1:103" ht="18.75" customHeight="1" x14ac:dyDescent="0.15">
      <c r="A47" s="87" t="s">
        <v>132</v>
      </c>
      <c r="B47" s="83">
        <v>9390</v>
      </c>
      <c r="C47" s="83">
        <v>4850</v>
      </c>
      <c r="D47" s="83">
        <v>4540</v>
      </c>
      <c r="E47" s="81">
        <v>3825</v>
      </c>
      <c r="F47" s="81">
        <v>2034</v>
      </c>
      <c r="G47" s="81">
        <v>1791</v>
      </c>
      <c r="H47" s="83">
        <v>428</v>
      </c>
      <c r="I47" s="84">
        <v>227</v>
      </c>
      <c r="J47" s="84">
        <v>201</v>
      </c>
      <c r="K47" s="83">
        <v>417</v>
      </c>
      <c r="L47" s="86">
        <v>224</v>
      </c>
      <c r="M47" s="86">
        <v>193</v>
      </c>
      <c r="N47" s="83">
        <v>176</v>
      </c>
      <c r="O47" s="81">
        <v>102</v>
      </c>
      <c r="P47" s="81">
        <v>74</v>
      </c>
      <c r="Q47" s="83">
        <v>89</v>
      </c>
      <c r="R47" s="82">
        <v>49</v>
      </c>
      <c r="S47" s="82">
        <v>40</v>
      </c>
      <c r="T47" s="83">
        <v>249</v>
      </c>
      <c r="U47" s="80">
        <v>120</v>
      </c>
      <c r="V47" s="80">
        <v>129</v>
      </c>
      <c r="W47" s="83">
        <v>613</v>
      </c>
      <c r="X47" s="84">
        <v>342</v>
      </c>
      <c r="Y47" s="84">
        <v>271</v>
      </c>
      <c r="Z47" s="83">
        <v>296</v>
      </c>
      <c r="AA47" s="84">
        <v>144</v>
      </c>
      <c r="AB47" s="84">
        <v>152</v>
      </c>
      <c r="AC47" s="83">
        <v>114</v>
      </c>
      <c r="AD47" s="81">
        <v>67</v>
      </c>
      <c r="AE47" s="81">
        <v>47</v>
      </c>
      <c r="AF47" s="83">
        <v>169</v>
      </c>
      <c r="AG47" s="80">
        <v>89</v>
      </c>
      <c r="AH47" s="80">
        <v>80</v>
      </c>
      <c r="AI47" s="83">
        <v>270</v>
      </c>
      <c r="AJ47" s="80">
        <v>137</v>
      </c>
      <c r="AK47" s="80">
        <v>133</v>
      </c>
      <c r="AL47" s="83">
        <v>375</v>
      </c>
      <c r="AM47" s="84">
        <v>187</v>
      </c>
      <c r="AN47" s="84">
        <v>188</v>
      </c>
      <c r="AO47" s="83">
        <v>158</v>
      </c>
      <c r="AP47" s="81">
        <v>85</v>
      </c>
      <c r="AQ47" s="81">
        <v>73</v>
      </c>
      <c r="AR47" s="83">
        <v>163</v>
      </c>
      <c r="AS47" s="80">
        <v>98</v>
      </c>
      <c r="AT47" s="80">
        <v>65</v>
      </c>
      <c r="AU47" s="83">
        <v>308</v>
      </c>
      <c r="AV47" s="84">
        <v>163</v>
      </c>
      <c r="AW47" s="84">
        <v>145</v>
      </c>
      <c r="AX47" s="81">
        <v>5565</v>
      </c>
      <c r="AY47" s="81">
        <v>2816</v>
      </c>
      <c r="AZ47" s="81">
        <v>2749</v>
      </c>
      <c r="BA47" s="81">
        <v>470</v>
      </c>
      <c r="BB47" s="84">
        <v>219</v>
      </c>
      <c r="BC47" s="84">
        <v>251</v>
      </c>
      <c r="BD47" s="81">
        <v>187</v>
      </c>
      <c r="BE47" s="80">
        <v>93</v>
      </c>
      <c r="BF47" s="80">
        <v>94</v>
      </c>
      <c r="BG47" s="81">
        <v>360</v>
      </c>
      <c r="BH47" s="81">
        <v>180</v>
      </c>
      <c r="BI47" s="81">
        <v>180</v>
      </c>
      <c r="BJ47" s="81">
        <v>210</v>
      </c>
      <c r="BK47" s="80">
        <v>102</v>
      </c>
      <c r="BL47" s="80">
        <v>108</v>
      </c>
      <c r="BM47" s="81">
        <v>255</v>
      </c>
      <c r="BN47" s="81">
        <v>121</v>
      </c>
      <c r="BO47" s="81">
        <v>134</v>
      </c>
      <c r="BP47" s="81">
        <v>491</v>
      </c>
      <c r="BQ47" s="80">
        <v>276</v>
      </c>
      <c r="BR47" s="80">
        <v>215</v>
      </c>
      <c r="BS47" s="81">
        <v>340</v>
      </c>
      <c r="BT47" s="80">
        <v>190</v>
      </c>
      <c r="BU47" s="80">
        <v>150</v>
      </c>
      <c r="BV47" s="81">
        <v>693</v>
      </c>
      <c r="BW47" s="80">
        <v>355</v>
      </c>
      <c r="BX47" s="80">
        <v>338</v>
      </c>
      <c r="BY47" s="81">
        <v>221</v>
      </c>
      <c r="BZ47" s="85">
        <v>114</v>
      </c>
      <c r="CA47" s="85">
        <v>107</v>
      </c>
      <c r="CB47" s="81">
        <v>322</v>
      </c>
      <c r="CC47" s="80">
        <v>174</v>
      </c>
      <c r="CD47" s="80">
        <v>148</v>
      </c>
      <c r="CE47" s="81">
        <v>88</v>
      </c>
      <c r="CF47" s="80">
        <v>41</v>
      </c>
      <c r="CG47" s="80">
        <v>47</v>
      </c>
      <c r="CH47" s="81">
        <v>576</v>
      </c>
      <c r="CI47" s="80">
        <v>273</v>
      </c>
      <c r="CJ47" s="80">
        <v>303</v>
      </c>
      <c r="CK47" s="81">
        <v>459</v>
      </c>
      <c r="CL47" s="84">
        <v>232</v>
      </c>
      <c r="CM47" s="84">
        <v>227</v>
      </c>
      <c r="CN47" s="81">
        <v>427</v>
      </c>
      <c r="CO47" s="80">
        <v>214</v>
      </c>
      <c r="CP47" s="80">
        <v>213</v>
      </c>
      <c r="CQ47" s="81">
        <v>239</v>
      </c>
      <c r="CR47" s="80">
        <v>113</v>
      </c>
      <c r="CS47" s="80">
        <v>126</v>
      </c>
      <c r="CT47" s="81">
        <v>144</v>
      </c>
      <c r="CU47" s="80">
        <v>70</v>
      </c>
      <c r="CV47" s="80">
        <v>74</v>
      </c>
      <c r="CW47" s="81">
        <v>83</v>
      </c>
      <c r="CX47" s="80">
        <v>49</v>
      </c>
      <c r="CY47" s="80">
        <v>34</v>
      </c>
    </row>
    <row r="48" spans="1:103" ht="18.75" customHeight="1" x14ac:dyDescent="0.15">
      <c r="A48" s="57" t="s">
        <v>193</v>
      </c>
      <c r="B48" s="78">
        <v>41408</v>
      </c>
      <c r="C48" s="78">
        <v>21363</v>
      </c>
      <c r="D48" s="78">
        <v>20045</v>
      </c>
      <c r="E48" s="78">
        <v>16200</v>
      </c>
      <c r="F48" s="78">
        <v>8573</v>
      </c>
      <c r="G48" s="78">
        <v>7627</v>
      </c>
      <c r="H48" s="78">
        <v>1664</v>
      </c>
      <c r="I48" s="78">
        <v>853</v>
      </c>
      <c r="J48" s="78">
        <v>811</v>
      </c>
      <c r="K48" s="78">
        <v>1674</v>
      </c>
      <c r="L48" s="78">
        <v>911</v>
      </c>
      <c r="M48" s="78">
        <v>763</v>
      </c>
      <c r="N48" s="78">
        <v>787</v>
      </c>
      <c r="O48" s="78">
        <v>424</v>
      </c>
      <c r="P48" s="78">
        <v>363</v>
      </c>
      <c r="Q48" s="78">
        <v>339</v>
      </c>
      <c r="R48" s="78">
        <v>203</v>
      </c>
      <c r="S48" s="78">
        <v>136</v>
      </c>
      <c r="T48" s="78">
        <v>1222</v>
      </c>
      <c r="U48" s="78">
        <v>651</v>
      </c>
      <c r="V48" s="78">
        <v>571</v>
      </c>
      <c r="W48" s="78">
        <v>2430</v>
      </c>
      <c r="X48" s="78">
        <v>1316</v>
      </c>
      <c r="Y48" s="78">
        <v>1114</v>
      </c>
      <c r="Z48" s="78">
        <v>1257</v>
      </c>
      <c r="AA48" s="78">
        <v>601</v>
      </c>
      <c r="AB48" s="78">
        <v>656</v>
      </c>
      <c r="AC48" s="78">
        <v>428</v>
      </c>
      <c r="AD48" s="78">
        <v>256</v>
      </c>
      <c r="AE48" s="78">
        <v>172</v>
      </c>
      <c r="AF48" s="78">
        <v>841</v>
      </c>
      <c r="AG48" s="78">
        <v>476</v>
      </c>
      <c r="AH48" s="78">
        <v>365</v>
      </c>
      <c r="AI48" s="78">
        <v>1204</v>
      </c>
      <c r="AJ48" s="78">
        <v>599</v>
      </c>
      <c r="AK48" s="78">
        <v>605</v>
      </c>
      <c r="AL48" s="78">
        <v>1660</v>
      </c>
      <c r="AM48" s="78">
        <v>860</v>
      </c>
      <c r="AN48" s="78">
        <v>800</v>
      </c>
      <c r="AO48" s="78">
        <v>652</v>
      </c>
      <c r="AP48" s="78">
        <v>348</v>
      </c>
      <c r="AQ48" s="78">
        <v>304</v>
      </c>
      <c r="AR48" s="78">
        <v>637</v>
      </c>
      <c r="AS48" s="78">
        <v>363</v>
      </c>
      <c r="AT48" s="78">
        <v>274</v>
      </c>
      <c r="AU48" s="78">
        <v>1405</v>
      </c>
      <c r="AV48" s="78">
        <v>712</v>
      </c>
      <c r="AW48" s="78">
        <v>693</v>
      </c>
      <c r="AX48" s="78">
        <v>25208</v>
      </c>
      <c r="AY48" s="78">
        <v>12790</v>
      </c>
      <c r="AZ48" s="78">
        <v>12418</v>
      </c>
      <c r="BA48" s="78">
        <v>2544</v>
      </c>
      <c r="BB48" s="78">
        <v>1248</v>
      </c>
      <c r="BC48" s="78">
        <v>1296</v>
      </c>
      <c r="BD48" s="78">
        <v>1123</v>
      </c>
      <c r="BE48" s="78">
        <v>546</v>
      </c>
      <c r="BF48" s="78">
        <v>577</v>
      </c>
      <c r="BG48" s="78">
        <v>1385</v>
      </c>
      <c r="BH48" s="78">
        <v>731</v>
      </c>
      <c r="BI48" s="78">
        <v>654</v>
      </c>
      <c r="BJ48" s="78">
        <v>1003</v>
      </c>
      <c r="BK48" s="78">
        <v>494</v>
      </c>
      <c r="BL48" s="78">
        <v>509</v>
      </c>
      <c r="BM48" s="78">
        <v>868</v>
      </c>
      <c r="BN48" s="78">
        <v>452</v>
      </c>
      <c r="BO48" s="78">
        <v>416</v>
      </c>
      <c r="BP48" s="78">
        <v>1808</v>
      </c>
      <c r="BQ48" s="78">
        <v>982</v>
      </c>
      <c r="BR48" s="78">
        <v>826</v>
      </c>
      <c r="BS48" s="78">
        <v>1294</v>
      </c>
      <c r="BT48" s="78">
        <v>708</v>
      </c>
      <c r="BU48" s="78">
        <v>586</v>
      </c>
      <c r="BV48" s="78">
        <v>2622</v>
      </c>
      <c r="BW48" s="78">
        <v>1398</v>
      </c>
      <c r="BX48" s="78">
        <v>1224</v>
      </c>
      <c r="BY48" s="78">
        <v>988</v>
      </c>
      <c r="BZ48" s="78">
        <v>498</v>
      </c>
      <c r="CA48" s="78">
        <v>490</v>
      </c>
      <c r="CB48" s="78">
        <v>1655</v>
      </c>
      <c r="CC48" s="78">
        <v>766</v>
      </c>
      <c r="CD48" s="78">
        <v>889</v>
      </c>
      <c r="CE48" s="78">
        <v>589</v>
      </c>
      <c r="CF48" s="78">
        <v>246</v>
      </c>
      <c r="CG48" s="78">
        <v>343</v>
      </c>
      <c r="CH48" s="78">
        <v>2975</v>
      </c>
      <c r="CI48" s="78">
        <v>1489</v>
      </c>
      <c r="CJ48" s="78">
        <v>1486</v>
      </c>
      <c r="CK48" s="78">
        <v>2225</v>
      </c>
      <c r="CL48" s="78">
        <v>1149</v>
      </c>
      <c r="CM48" s="78">
        <v>1076</v>
      </c>
      <c r="CN48" s="78">
        <v>1891</v>
      </c>
      <c r="CO48" s="78">
        <v>989</v>
      </c>
      <c r="CP48" s="78">
        <v>902</v>
      </c>
      <c r="CQ48" s="78">
        <v>993</v>
      </c>
      <c r="CR48" s="78">
        <v>482</v>
      </c>
      <c r="CS48" s="78">
        <v>511</v>
      </c>
      <c r="CT48" s="78">
        <v>792</v>
      </c>
      <c r="CU48" s="78">
        <v>397</v>
      </c>
      <c r="CV48" s="78">
        <v>395</v>
      </c>
      <c r="CW48" s="78">
        <v>453</v>
      </c>
      <c r="CX48" s="78">
        <v>215</v>
      </c>
      <c r="CY48" s="78">
        <v>238</v>
      </c>
    </row>
    <row r="49" spans="1:103" ht="18.75" customHeight="1" x14ac:dyDescent="0.15">
      <c r="A49" s="87" t="s">
        <v>130</v>
      </c>
      <c r="B49" s="83">
        <v>8622</v>
      </c>
      <c r="C49" s="83">
        <v>4505</v>
      </c>
      <c r="D49" s="83">
        <v>4117</v>
      </c>
      <c r="E49" s="81">
        <v>3376</v>
      </c>
      <c r="F49" s="81">
        <v>1795</v>
      </c>
      <c r="G49" s="81">
        <v>1581</v>
      </c>
      <c r="H49" s="83">
        <v>320</v>
      </c>
      <c r="I49" s="84">
        <v>161</v>
      </c>
      <c r="J49" s="84">
        <v>159</v>
      </c>
      <c r="K49" s="83">
        <v>329</v>
      </c>
      <c r="L49" s="86">
        <v>177</v>
      </c>
      <c r="M49" s="86">
        <v>152</v>
      </c>
      <c r="N49" s="83">
        <v>174</v>
      </c>
      <c r="O49" s="81">
        <v>92</v>
      </c>
      <c r="P49" s="81">
        <v>82</v>
      </c>
      <c r="Q49" s="83">
        <v>72</v>
      </c>
      <c r="R49" s="82">
        <v>38</v>
      </c>
      <c r="S49" s="82">
        <v>34</v>
      </c>
      <c r="T49" s="83">
        <v>255</v>
      </c>
      <c r="U49" s="80">
        <v>129</v>
      </c>
      <c r="V49" s="80">
        <v>126</v>
      </c>
      <c r="W49" s="83">
        <v>546</v>
      </c>
      <c r="X49" s="84">
        <v>302</v>
      </c>
      <c r="Y49" s="84">
        <v>244</v>
      </c>
      <c r="Z49" s="83">
        <v>252</v>
      </c>
      <c r="AA49" s="84">
        <v>115</v>
      </c>
      <c r="AB49" s="84">
        <v>137</v>
      </c>
      <c r="AC49" s="83">
        <v>93</v>
      </c>
      <c r="AD49" s="81">
        <v>54</v>
      </c>
      <c r="AE49" s="81">
        <v>39</v>
      </c>
      <c r="AF49" s="83">
        <v>174</v>
      </c>
      <c r="AG49" s="80">
        <v>95</v>
      </c>
      <c r="AH49" s="80">
        <v>79</v>
      </c>
      <c r="AI49" s="83">
        <v>253</v>
      </c>
      <c r="AJ49" s="80">
        <v>123</v>
      </c>
      <c r="AK49" s="80">
        <v>130</v>
      </c>
      <c r="AL49" s="83">
        <v>343</v>
      </c>
      <c r="AM49" s="84">
        <v>193</v>
      </c>
      <c r="AN49" s="84">
        <v>150</v>
      </c>
      <c r="AO49" s="83">
        <v>135</v>
      </c>
      <c r="AP49" s="81">
        <v>74</v>
      </c>
      <c r="AQ49" s="81">
        <v>61</v>
      </c>
      <c r="AR49" s="83">
        <v>130</v>
      </c>
      <c r="AS49" s="80">
        <v>72</v>
      </c>
      <c r="AT49" s="80">
        <v>58</v>
      </c>
      <c r="AU49" s="83">
        <v>300</v>
      </c>
      <c r="AV49" s="84">
        <v>170</v>
      </c>
      <c r="AW49" s="84">
        <v>130</v>
      </c>
      <c r="AX49" s="81">
        <v>5246</v>
      </c>
      <c r="AY49" s="81">
        <v>2710</v>
      </c>
      <c r="AZ49" s="81">
        <v>2536</v>
      </c>
      <c r="BA49" s="81">
        <v>515</v>
      </c>
      <c r="BB49" s="84">
        <v>239</v>
      </c>
      <c r="BC49" s="84">
        <v>276</v>
      </c>
      <c r="BD49" s="81">
        <v>231</v>
      </c>
      <c r="BE49" s="80">
        <v>104</v>
      </c>
      <c r="BF49" s="80">
        <v>127</v>
      </c>
      <c r="BG49" s="81">
        <v>274</v>
      </c>
      <c r="BH49" s="81">
        <v>141</v>
      </c>
      <c r="BI49" s="81">
        <v>133</v>
      </c>
      <c r="BJ49" s="81">
        <v>211</v>
      </c>
      <c r="BK49" s="80">
        <v>96</v>
      </c>
      <c r="BL49" s="80">
        <v>115</v>
      </c>
      <c r="BM49" s="81">
        <v>230</v>
      </c>
      <c r="BN49" s="81">
        <v>125</v>
      </c>
      <c r="BO49" s="81">
        <v>105</v>
      </c>
      <c r="BP49" s="81">
        <v>390</v>
      </c>
      <c r="BQ49" s="80">
        <v>208</v>
      </c>
      <c r="BR49" s="80">
        <v>182</v>
      </c>
      <c r="BS49" s="81">
        <v>301</v>
      </c>
      <c r="BT49" s="80">
        <v>163</v>
      </c>
      <c r="BU49" s="80">
        <v>138</v>
      </c>
      <c r="BV49" s="81">
        <v>593</v>
      </c>
      <c r="BW49" s="80">
        <v>337</v>
      </c>
      <c r="BX49" s="80">
        <v>256</v>
      </c>
      <c r="BY49" s="81">
        <v>217</v>
      </c>
      <c r="BZ49" s="85">
        <v>116</v>
      </c>
      <c r="CA49" s="85">
        <v>101</v>
      </c>
      <c r="CB49" s="81">
        <v>315</v>
      </c>
      <c r="CC49" s="80">
        <v>153</v>
      </c>
      <c r="CD49" s="80">
        <v>162</v>
      </c>
      <c r="CE49" s="81">
        <v>94</v>
      </c>
      <c r="CF49" s="80">
        <v>41</v>
      </c>
      <c r="CG49" s="80">
        <v>53</v>
      </c>
      <c r="CH49" s="81">
        <v>553</v>
      </c>
      <c r="CI49" s="80">
        <v>295</v>
      </c>
      <c r="CJ49" s="80">
        <v>258</v>
      </c>
      <c r="CK49" s="81">
        <v>466</v>
      </c>
      <c r="CL49" s="84">
        <v>242</v>
      </c>
      <c r="CM49" s="84">
        <v>224</v>
      </c>
      <c r="CN49" s="81">
        <v>387</v>
      </c>
      <c r="CO49" s="80">
        <v>212</v>
      </c>
      <c r="CP49" s="80">
        <v>175</v>
      </c>
      <c r="CQ49" s="81">
        <v>220</v>
      </c>
      <c r="CR49" s="80">
        <v>106</v>
      </c>
      <c r="CS49" s="80">
        <v>114</v>
      </c>
      <c r="CT49" s="81">
        <v>171</v>
      </c>
      <c r="CU49" s="80">
        <v>90</v>
      </c>
      <c r="CV49" s="80">
        <v>81</v>
      </c>
      <c r="CW49" s="81">
        <v>78</v>
      </c>
      <c r="CX49" s="80">
        <v>42</v>
      </c>
      <c r="CY49" s="80">
        <v>36</v>
      </c>
    </row>
    <row r="50" spans="1:103" ht="18.75" customHeight="1" x14ac:dyDescent="0.15">
      <c r="A50" s="87" t="s">
        <v>129</v>
      </c>
      <c r="B50" s="83">
        <v>8399</v>
      </c>
      <c r="C50" s="83">
        <v>4267</v>
      </c>
      <c r="D50" s="83">
        <v>4132</v>
      </c>
      <c r="E50" s="81">
        <v>3337</v>
      </c>
      <c r="F50" s="81">
        <v>1735</v>
      </c>
      <c r="G50" s="81">
        <v>1602</v>
      </c>
      <c r="H50" s="83">
        <v>345</v>
      </c>
      <c r="I50" s="84">
        <v>167</v>
      </c>
      <c r="J50" s="84">
        <v>178</v>
      </c>
      <c r="K50" s="83">
        <v>338</v>
      </c>
      <c r="L50" s="86">
        <v>176</v>
      </c>
      <c r="M50" s="86">
        <v>162</v>
      </c>
      <c r="N50" s="83">
        <v>170</v>
      </c>
      <c r="O50" s="81">
        <v>91</v>
      </c>
      <c r="P50" s="81">
        <v>79</v>
      </c>
      <c r="Q50" s="83">
        <v>61</v>
      </c>
      <c r="R50" s="82">
        <v>39</v>
      </c>
      <c r="S50" s="82">
        <v>22</v>
      </c>
      <c r="T50" s="83">
        <v>250</v>
      </c>
      <c r="U50" s="80">
        <v>132</v>
      </c>
      <c r="V50" s="80">
        <v>118</v>
      </c>
      <c r="W50" s="83">
        <v>517</v>
      </c>
      <c r="X50" s="84">
        <v>267</v>
      </c>
      <c r="Y50" s="84">
        <v>250</v>
      </c>
      <c r="Z50" s="83">
        <v>262</v>
      </c>
      <c r="AA50" s="84">
        <v>123</v>
      </c>
      <c r="AB50" s="84">
        <v>139</v>
      </c>
      <c r="AC50" s="83">
        <v>79</v>
      </c>
      <c r="AD50" s="81">
        <v>46</v>
      </c>
      <c r="AE50" s="81">
        <v>33</v>
      </c>
      <c r="AF50" s="83">
        <v>165</v>
      </c>
      <c r="AG50" s="80">
        <v>96</v>
      </c>
      <c r="AH50" s="80">
        <v>69</v>
      </c>
      <c r="AI50" s="83">
        <v>242</v>
      </c>
      <c r="AJ50" s="80">
        <v>128</v>
      </c>
      <c r="AK50" s="80">
        <v>114</v>
      </c>
      <c r="AL50" s="83">
        <v>355</v>
      </c>
      <c r="AM50" s="84">
        <v>177</v>
      </c>
      <c r="AN50" s="84">
        <v>178</v>
      </c>
      <c r="AO50" s="83">
        <v>143</v>
      </c>
      <c r="AP50" s="81">
        <v>79</v>
      </c>
      <c r="AQ50" s="81">
        <v>64</v>
      </c>
      <c r="AR50" s="83">
        <v>142</v>
      </c>
      <c r="AS50" s="80">
        <v>83</v>
      </c>
      <c r="AT50" s="80">
        <v>59</v>
      </c>
      <c r="AU50" s="83">
        <v>268</v>
      </c>
      <c r="AV50" s="84">
        <v>131</v>
      </c>
      <c r="AW50" s="84">
        <v>137</v>
      </c>
      <c r="AX50" s="81">
        <v>5062</v>
      </c>
      <c r="AY50" s="81">
        <v>2532</v>
      </c>
      <c r="AZ50" s="81">
        <v>2530</v>
      </c>
      <c r="BA50" s="81">
        <v>443</v>
      </c>
      <c r="BB50" s="84">
        <v>210</v>
      </c>
      <c r="BC50" s="84">
        <v>233</v>
      </c>
      <c r="BD50" s="81">
        <v>206</v>
      </c>
      <c r="BE50" s="80">
        <v>100</v>
      </c>
      <c r="BF50" s="80">
        <v>106</v>
      </c>
      <c r="BG50" s="81">
        <v>285</v>
      </c>
      <c r="BH50" s="81">
        <v>151</v>
      </c>
      <c r="BI50" s="81">
        <v>134</v>
      </c>
      <c r="BJ50" s="81">
        <v>212</v>
      </c>
      <c r="BK50" s="80">
        <v>101</v>
      </c>
      <c r="BL50" s="80">
        <v>111</v>
      </c>
      <c r="BM50" s="81">
        <v>190</v>
      </c>
      <c r="BN50" s="81">
        <v>102</v>
      </c>
      <c r="BO50" s="81">
        <v>88</v>
      </c>
      <c r="BP50" s="81">
        <v>391</v>
      </c>
      <c r="BQ50" s="80">
        <v>220</v>
      </c>
      <c r="BR50" s="80">
        <v>171</v>
      </c>
      <c r="BS50" s="81">
        <v>258</v>
      </c>
      <c r="BT50" s="80">
        <v>145</v>
      </c>
      <c r="BU50" s="80">
        <v>113</v>
      </c>
      <c r="BV50" s="81">
        <v>557</v>
      </c>
      <c r="BW50" s="80">
        <v>289</v>
      </c>
      <c r="BX50" s="80">
        <v>268</v>
      </c>
      <c r="BY50" s="81">
        <v>175</v>
      </c>
      <c r="BZ50" s="85">
        <v>93</v>
      </c>
      <c r="CA50" s="85">
        <v>82</v>
      </c>
      <c r="CB50" s="81">
        <v>347</v>
      </c>
      <c r="CC50" s="80">
        <v>156</v>
      </c>
      <c r="CD50" s="80">
        <v>191</v>
      </c>
      <c r="CE50" s="81">
        <v>93</v>
      </c>
      <c r="CF50" s="80">
        <v>38</v>
      </c>
      <c r="CG50" s="80">
        <v>55</v>
      </c>
      <c r="CH50" s="81">
        <v>606</v>
      </c>
      <c r="CI50" s="80">
        <v>290</v>
      </c>
      <c r="CJ50" s="80">
        <v>316</v>
      </c>
      <c r="CK50" s="81">
        <v>453</v>
      </c>
      <c r="CL50" s="84">
        <v>232</v>
      </c>
      <c r="CM50" s="84">
        <v>221</v>
      </c>
      <c r="CN50" s="81">
        <v>412</v>
      </c>
      <c r="CO50" s="80">
        <v>198</v>
      </c>
      <c r="CP50" s="80">
        <v>214</v>
      </c>
      <c r="CQ50" s="81">
        <v>195</v>
      </c>
      <c r="CR50" s="80">
        <v>91</v>
      </c>
      <c r="CS50" s="80">
        <v>104</v>
      </c>
      <c r="CT50" s="81">
        <v>152</v>
      </c>
      <c r="CU50" s="80">
        <v>80</v>
      </c>
      <c r="CV50" s="80">
        <v>72</v>
      </c>
      <c r="CW50" s="81">
        <v>87</v>
      </c>
      <c r="CX50" s="80">
        <v>36</v>
      </c>
      <c r="CY50" s="80">
        <v>51</v>
      </c>
    </row>
    <row r="51" spans="1:103" ht="18.75" customHeight="1" x14ac:dyDescent="0.15">
      <c r="A51" s="87" t="s">
        <v>128</v>
      </c>
      <c r="B51" s="83">
        <v>8456</v>
      </c>
      <c r="C51" s="83">
        <v>4423</v>
      </c>
      <c r="D51" s="83">
        <v>4033</v>
      </c>
      <c r="E51" s="81">
        <v>3326</v>
      </c>
      <c r="F51" s="81">
        <v>1786</v>
      </c>
      <c r="G51" s="81">
        <v>1540</v>
      </c>
      <c r="H51" s="83">
        <v>377</v>
      </c>
      <c r="I51" s="84">
        <v>213</v>
      </c>
      <c r="J51" s="84">
        <v>164</v>
      </c>
      <c r="K51" s="83">
        <v>361</v>
      </c>
      <c r="L51" s="86">
        <v>209</v>
      </c>
      <c r="M51" s="86">
        <v>152</v>
      </c>
      <c r="N51" s="83">
        <v>146</v>
      </c>
      <c r="O51" s="81">
        <v>77</v>
      </c>
      <c r="P51" s="81">
        <v>69</v>
      </c>
      <c r="Q51" s="83">
        <v>77</v>
      </c>
      <c r="R51" s="82">
        <v>44</v>
      </c>
      <c r="S51" s="82">
        <v>33</v>
      </c>
      <c r="T51" s="83">
        <v>245</v>
      </c>
      <c r="U51" s="80">
        <v>118</v>
      </c>
      <c r="V51" s="80">
        <v>127</v>
      </c>
      <c r="W51" s="83">
        <v>482</v>
      </c>
      <c r="X51" s="84">
        <v>264</v>
      </c>
      <c r="Y51" s="84">
        <v>218</v>
      </c>
      <c r="Z51" s="83">
        <v>244</v>
      </c>
      <c r="AA51" s="84">
        <v>128</v>
      </c>
      <c r="AB51" s="84">
        <v>116</v>
      </c>
      <c r="AC51" s="83">
        <v>103</v>
      </c>
      <c r="AD51" s="81">
        <v>64</v>
      </c>
      <c r="AE51" s="81">
        <v>39</v>
      </c>
      <c r="AF51" s="83">
        <v>164</v>
      </c>
      <c r="AG51" s="80">
        <v>91</v>
      </c>
      <c r="AH51" s="80">
        <v>73</v>
      </c>
      <c r="AI51" s="83">
        <v>274</v>
      </c>
      <c r="AJ51" s="80">
        <v>138</v>
      </c>
      <c r="AK51" s="80">
        <v>136</v>
      </c>
      <c r="AL51" s="83">
        <v>332</v>
      </c>
      <c r="AM51" s="84">
        <v>178</v>
      </c>
      <c r="AN51" s="84">
        <v>154</v>
      </c>
      <c r="AO51" s="83">
        <v>126</v>
      </c>
      <c r="AP51" s="81">
        <v>59</v>
      </c>
      <c r="AQ51" s="81">
        <v>67</v>
      </c>
      <c r="AR51" s="83">
        <v>123</v>
      </c>
      <c r="AS51" s="80">
        <v>70</v>
      </c>
      <c r="AT51" s="80">
        <v>53</v>
      </c>
      <c r="AU51" s="83">
        <v>272</v>
      </c>
      <c r="AV51" s="84">
        <v>133</v>
      </c>
      <c r="AW51" s="84">
        <v>139</v>
      </c>
      <c r="AX51" s="81">
        <v>5130</v>
      </c>
      <c r="AY51" s="81">
        <v>2637</v>
      </c>
      <c r="AZ51" s="81">
        <v>2493</v>
      </c>
      <c r="BA51" s="81">
        <v>540</v>
      </c>
      <c r="BB51" s="84">
        <v>272</v>
      </c>
      <c r="BC51" s="84">
        <v>268</v>
      </c>
      <c r="BD51" s="81">
        <v>263</v>
      </c>
      <c r="BE51" s="80">
        <v>140</v>
      </c>
      <c r="BF51" s="80">
        <v>123</v>
      </c>
      <c r="BG51" s="81">
        <v>291</v>
      </c>
      <c r="BH51" s="81">
        <v>151</v>
      </c>
      <c r="BI51" s="81">
        <v>140</v>
      </c>
      <c r="BJ51" s="81">
        <v>204</v>
      </c>
      <c r="BK51" s="80">
        <v>103</v>
      </c>
      <c r="BL51" s="80">
        <v>101</v>
      </c>
      <c r="BM51" s="81">
        <v>170</v>
      </c>
      <c r="BN51" s="81">
        <v>85</v>
      </c>
      <c r="BO51" s="81">
        <v>85</v>
      </c>
      <c r="BP51" s="81">
        <v>352</v>
      </c>
      <c r="BQ51" s="80">
        <v>191</v>
      </c>
      <c r="BR51" s="80">
        <v>161</v>
      </c>
      <c r="BS51" s="81">
        <v>274</v>
      </c>
      <c r="BT51" s="80">
        <v>157</v>
      </c>
      <c r="BU51" s="80">
        <v>117</v>
      </c>
      <c r="BV51" s="81">
        <v>521</v>
      </c>
      <c r="BW51" s="80">
        <v>282</v>
      </c>
      <c r="BX51" s="80">
        <v>239</v>
      </c>
      <c r="BY51" s="81">
        <v>207</v>
      </c>
      <c r="BZ51" s="85">
        <v>97</v>
      </c>
      <c r="CA51" s="85">
        <v>110</v>
      </c>
      <c r="CB51" s="81">
        <v>335</v>
      </c>
      <c r="CC51" s="80">
        <v>154</v>
      </c>
      <c r="CD51" s="80">
        <v>181</v>
      </c>
      <c r="CE51" s="81">
        <v>125</v>
      </c>
      <c r="CF51" s="80">
        <v>55</v>
      </c>
      <c r="CG51" s="80">
        <v>70</v>
      </c>
      <c r="CH51" s="81">
        <v>595</v>
      </c>
      <c r="CI51" s="80">
        <v>313</v>
      </c>
      <c r="CJ51" s="80">
        <v>282</v>
      </c>
      <c r="CK51" s="81">
        <v>468</v>
      </c>
      <c r="CL51" s="84">
        <v>224</v>
      </c>
      <c r="CM51" s="84">
        <v>244</v>
      </c>
      <c r="CN51" s="81">
        <v>364</v>
      </c>
      <c r="CO51" s="80">
        <v>203</v>
      </c>
      <c r="CP51" s="80">
        <v>161</v>
      </c>
      <c r="CQ51" s="81">
        <v>171</v>
      </c>
      <c r="CR51" s="80">
        <v>84</v>
      </c>
      <c r="CS51" s="80">
        <v>87</v>
      </c>
      <c r="CT51" s="81">
        <v>152</v>
      </c>
      <c r="CU51" s="80">
        <v>76</v>
      </c>
      <c r="CV51" s="80">
        <v>76</v>
      </c>
      <c r="CW51" s="81">
        <v>98</v>
      </c>
      <c r="CX51" s="80">
        <v>50</v>
      </c>
      <c r="CY51" s="80">
        <v>48</v>
      </c>
    </row>
    <row r="52" spans="1:103" ht="18.75" customHeight="1" x14ac:dyDescent="0.15">
      <c r="A52" s="87" t="s">
        <v>127</v>
      </c>
      <c r="B52" s="83">
        <v>8125</v>
      </c>
      <c r="C52" s="83">
        <v>4130</v>
      </c>
      <c r="D52" s="83">
        <v>3995</v>
      </c>
      <c r="E52" s="81">
        <v>3173</v>
      </c>
      <c r="F52" s="81">
        <v>1675</v>
      </c>
      <c r="G52" s="81">
        <v>1498</v>
      </c>
      <c r="H52" s="83">
        <v>331</v>
      </c>
      <c r="I52" s="84">
        <v>166</v>
      </c>
      <c r="J52" s="84">
        <v>165</v>
      </c>
      <c r="K52" s="83">
        <v>329</v>
      </c>
      <c r="L52" s="86">
        <v>177</v>
      </c>
      <c r="M52" s="86">
        <v>152</v>
      </c>
      <c r="N52" s="83">
        <v>160</v>
      </c>
      <c r="O52" s="81">
        <v>90</v>
      </c>
      <c r="P52" s="81">
        <v>70</v>
      </c>
      <c r="Q52" s="83">
        <v>71</v>
      </c>
      <c r="R52" s="82">
        <v>49</v>
      </c>
      <c r="S52" s="82">
        <v>22</v>
      </c>
      <c r="T52" s="83">
        <v>266</v>
      </c>
      <c r="U52" s="80">
        <v>154</v>
      </c>
      <c r="V52" s="80">
        <v>112</v>
      </c>
      <c r="W52" s="83">
        <v>453</v>
      </c>
      <c r="X52" s="84">
        <v>249</v>
      </c>
      <c r="Y52" s="84">
        <v>204</v>
      </c>
      <c r="Z52" s="83">
        <v>247</v>
      </c>
      <c r="AA52" s="84">
        <v>114</v>
      </c>
      <c r="AB52" s="84">
        <v>133</v>
      </c>
      <c r="AC52" s="83">
        <v>72</v>
      </c>
      <c r="AD52" s="81">
        <v>38</v>
      </c>
      <c r="AE52" s="81">
        <v>34</v>
      </c>
      <c r="AF52" s="83">
        <v>183</v>
      </c>
      <c r="AG52" s="80">
        <v>102</v>
      </c>
      <c r="AH52" s="80">
        <v>81</v>
      </c>
      <c r="AI52" s="83">
        <v>224</v>
      </c>
      <c r="AJ52" s="80">
        <v>108</v>
      </c>
      <c r="AK52" s="80">
        <v>116</v>
      </c>
      <c r="AL52" s="83">
        <v>334</v>
      </c>
      <c r="AM52" s="84">
        <v>164</v>
      </c>
      <c r="AN52" s="84">
        <v>170</v>
      </c>
      <c r="AO52" s="83">
        <v>115</v>
      </c>
      <c r="AP52" s="81">
        <v>64</v>
      </c>
      <c r="AQ52" s="81">
        <v>51</v>
      </c>
      <c r="AR52" s="83">
        <v>122</v>
      </c>
      <c r="AS52" s="80">
        <v>70</v>
      </c>
      <c r="AT52" s="80">
        <v>52</v>
      </c>
      <c r="AU52" s="83">
        <v>266</v>
      </c>
      <c r="AV52" s="84">
        <v>130</v>
      </c>
      <c r="AW52" s="84">
        <v>136</v>
      </c>
      <c r="AX52" s="81">
        <v>4952</v>
      </c>
      <c r="AY52" s="81">
        <v>2455</v>
      </c>
      <c r="AZ52" s="81">
        <v>2497</v>
      </c>
      <c r="BA52" s="81">
        <v>518</v>
      </c>
      <c r="BB52" s="84">
        <v>253</v>
      </c>
      <c r="BC52" s="84">
        <v>265</v>
      </c>
      <c r="BD52" s="81">
        <v>204</v>
      </c>
      <c r="BE52" s="80">
        <v>96</v>
      </c>
      <c r="BF52" s="80">
        <v>108</v>
      </c>
      <c r="BG52" s="81">
        <v>297</v>
      </c>
      <c r="BH52" s="81">
        <v>163</v>
      </c>
      <c r="BI52" s="81">
        <v>134</v>
      </c>
      <c r="BJ52" s="81">
        <v>200</v>
      </c>
      <c r="BK52" s="80">
        <v>102</v>
      </c>
      <c r="BL52" s="80">
        <v>98</v>
      </c>
      <c r="BM52" s="81">
        <v>150</v>
      </c>
      <c r="BN52" s="81">
        <v>71</v>
      </c>
      <c r="BO52" s="81">
        <v>79</v>
      </c>
      <c r="BP52" s="81">
        <v>355</v>
      </c>
      <c r="BQ52" s="80">
        <v>183</v>
      </c>
      <c r="BR52" s="80">
        <v>172</v>
      </c>
      <c r="BS52" s="81">
        <v>239</v>
      </c>
      <c r="BT52" s="80">
        <v>129</v>
      </c>
      <c r="BU52" s="80">
        <v>110</v>
      </c>
      <c r="BV52" s="81">
        <v>491</v>
      </c>
      <c r="BW52" s="80">
        <v>254</v>
      </c>
      <c r="BX52" s="80">
        <v>237</v>
      </c>
      <c r="BY52" s="81">
        <v>201</v>
      </c>
      <c r="BZ52" s="85">
        <v>97</v>
      </c>
      <c r="CA52" s="85">
        <v>104</v>
      </c>
      <c r="CB52" s="81">
        <v>309</v>
      </c>
      <c r="CC52" s="80">
        <v>135</v>
      </c>
      <c r="CD52" s="80">
        <v>174</v>
      </c>
      <c r="CE52" s="81">
        <v>136</v>
      </c>
      <c r="CF52" s="80">
        <v>56</v>
      </c>
      <c r="CG52" s="80">
        <v>80</v>
      </c>
      <c r="CH52" s="81">
        <v>623</v>
      </c>
      <c r="CI52" s="80">
        <v>300</v>
      </c>
      <c r="CJ52" s="80">
        <v>323</v>
      </c>
      <c r="CK52" s="81">
        <v>428</v>
      </c>
      <c r="CL52" s="84">
        <v>218</v>
      </c>
      <c r="CM52" s="84">
        <v>210</v>
      </c>
      <c r="CN52" s="81">
        <v>367</v>
      </c>
      <c r="CO52" s="80">
        <v>187</v>
      </c>
      <c r="CP52" s="80">
        <v>180</v>
      </c>
      <c r="CQ52" s="81">
        <v>187</v>
      </c>
      <c r="CR52" s="80">
        <v>94</v>
      </c>
      <c r="CS52" s="80">
        <v>93</v>
      </c>
      <c r="CT52" s="81">
        <v>163</v>
      </c>
      <c r="CU52" s="80">
        <v>82</v>
      </c>
      <c r="CV52" s="80">
        <v>81</v>
      </c>
      <c r="CW52" s="81">
        <v>84</v>
      </c>
      <c r="CX52" s="80">
        <v>35</v>
      </c>
      <c r="CY52" s="80">
        <v>49</v>
      </c>
    </row>
    <row r="53" spans="1:103" ht="18.75" customHeight="1" x14ac:dyDescent="0.15">
      <c r="A53" s="87" t="s">
        <v>126</v>
      </c>
      <c r="B53" s="83">
        <v>7806</v>
      </c>
      <c r="C53" s="83">
        <v>4038</v>
      </c>
      <c r="D53" s="83">
        <v>3768</v>
      </c>
      <c r="E53" s="81">
        <v>2988</v>
      </c>
      <c r="F53" s="81">
        <v>1582</v>
      </c>
      <c r="G53" s="81">
        <v>1406</v>
      </c>
      <c r="H53" s="83">
        <v>291</v>
      </c>
      <c r="I53" s="84">
        <v>146</v>
      </c>
      <c r="J53" s="84">
        <v>145</v>
      </c>
      <c r="K53" s="83">
        <v>317</v>
      </c>
      <c r="L53" s="86">
        <v>172</v>
      </c>
      <c r="M53" s="86">
        <v>145</v>
      </c>
      <c r="N53" s="83">
        <v>137</v>
      </c>
      <c r="O53" s="81">
        <v>74</v>
      </c>
      <c r="P53" s="81">
        <v>63</v>
      </c>
      <c r="Q53" s="83">
        <v>58</v>
      </c>
      <c r="R53" s="82">
        <v>33</v>
      </c>
      <c r="S53" s="82">
        <v>25</v>
      </c>
      <c r="T53" s="83">
        <v>206</v>
      </c>
      <c r="U53" s="80">
        <v>118</v>
      </c>
      <c r="V53" s="80">
        <v>88</v>
      </c>
      <c r="W53" s="83">
        <v>432</v>
      </c>
      <c r="X53" s="84">
        <v>234</v>
      </c>
      <c r="Y53" s="84">
        <v>198</v>
      </c>
      <c r="Z53" s="83">
        <v>252</v>
      </c>
      <c r="AA53" s="84">
        <v>121</v>
      </c>
      <c r="AB53" s="84">
        <v>131</v>
      </c>
      <c r="AC53" s="83">
        <v>81</v>
      </c>
      <c r="AD53" s="81">
        <v>54</v>
      </c>
      <c r="AE53" s="81">
        <v>27</v>
      </c>
      <c r="AF53" s="83">
        <v>155</v>
      </c>
      <c r="AG53" s="80">
        <v>92</v>
      </c>
      <c r="AH53" s="80">
        <v>63</v>
      </c>
      <c r="AI53" s="83">
        <v>211</v>
      </c>
      <c r="AJ53" s="80">
        <v>102</v>
      </c>
      <c r="AK53" s="80">
        <v>109</v>
      </c>
      <c r="AL53" s="83">
        <v>296</v>
      </c>
      <c r="AM53" s="84">
        <v>148</v>
      </c>
      <c r="AN53" s="84">
        <v>148</v>
      </c>
      <c r="AO53" s="83">
        <v>133</v>
      </c>
      <c r="AP53" s="81">
        <v>72</v>
      </c>
      <c r="AQ53" s="81">
        <v>61</v>
      </c>
      <c r="AR53" s="83">
        <v>120</v>
      </c>
      <c r="AS53" s="80">
        <v>68</v>
      </c>
      <c r="AT53" s="80">
        <v>52</v>
      </c>
      <c r="AU53" s="83">
        <v>299</v>
      </c>
      <c r="AV53" s="84">
        <v>148</v>
      </c>
      <c r="AW53" s="84">
        <v>151</v>
      </c>
      <c r="AX53" s="81">
        <v>4818</v>
      </c>
      <c r="AY53" s="81">
        <v>2456</v>
      </c>
      <c r="AZ53" s="81">
        <v>2362</v>
      </c>
      <c r="BA53" s="81">
        <v>528</v>
      </c>
      <c r="BB53" s="84">
        <v>274</v>
      </c>
      <c r="BC53" s="84">
        <v>254</v>
      </c>
      <c r="BD53" s="81">
        <v>219</v>
      </c>
      <c r="BE53" s="80">
        <v>106</v>
      </c>
      <c r="BF53" s="80">
        <v>113</v>
      </c>
      <c r="BG53" s="81">
        <v>238</v>
      </c>
      <c r="BH53" s="81">
        <v>125</v>
      </c>
      <c r="BI53" s="81">
        <v>113</v>
      </c>
      <c r="BJ53" s="81">
        <v>176</v>
      </c>
      <c r="BK53" s="80">
        <v>92</v>
      </c>
      <c r="BL53" s="80">
        <v>84</v>
      </c>
      <c r="BM53" s="81">
        <v>128</v>
      </c>
      <c r="BN53" s="81">
        <v>69</v>
      </c>
      <c r="BO53" s="81">
        <v>59</v>
      </c>
      <c r="BP53" s="81">
        <v>320</v>
      </c>
      <c r="BQ53" s="80">
        <v>180</v>
      </c>
      <c r="BR53" s="80">
        <v>140</v>
      </c>
      <c r="BS53" s="81">
        <v>222</v>
      </c>
      <c r="BT53" s="80">
        <v>114</v>
      </c>
      <c r="BU53" s="80">
        <v>108</v>
      </c>
      <c r="BV53" s="81">
        <v>460</v>
      </c>
      <c r="BW53" s="80">
        <v>236</v>
      </c>
      <c r="BX53" s="80">
        <v>224</v>
      </c>
      <c r="BY53" s="81">
        <v>188</v>
      </c>
      <c r="BZ53" s="85">
        <v>95</v>
      </c>
      <c r="CA53" s="85">
        <v>93</v>
      </c>
      <c r="CB53" s="81">
        <v>349</v>
      </c>
      <c r="CC53" s="80">
        <v>168</v>
      </c>
      <c r="CD53" s="80">
        <v>181</v>
      </c>
      <c r="CE53" s="81">
        <v>141</v>
      </c>
      <c r="CF53" s="80">
        <v>56</v>
      </c>
      <c r="CG53" s="80">
        <v>85</v>
      </c>
      <c r="CH53" s="81">
        <v>598</v>
      </c>
      <c r="CI53" s="80">
        <v>291</v>
      </c>
      <c r="CJ53" s="80">
        <v>307</v>
      </c>
      <c r="CK53" s="81">
        <v>410</v>
      </c>
      <c r="CL53" s="84">
        <v>233</v>
      </c>
      <c r="CM53" s="84">
        <v>177</v>
      </c>
      <c r="CN53" s="81">
        <v>361</v>
      </c>
      <c r="CO53" s="80">
        <v>189</v>
      </c>
      <c r="CP53" s="80">
        <v>172</v>
      </c>
      <c r="CQ53" s="81">
        <v>220</v>
      </c>
      <c r="CR53" s="80">
        <v>107</v>
      </c>
      <c r="CS53" s="80">
        <v>113</v>
      </c>
      <c r="CT53" s="81">
        <v>154</v>
      </c>
      <c r="CU53" s="80">
        <v>69</v>
      </c>
      <c r="CV53" s="80">
        <v>85</v>
      </c>
      <c r="CW53" s="81">
        <v>106</v>
      </c>
      <c r="CX53" s="80">
        <v>52</v>
      </c>
      <c r="CY53" s="80">
        <v>54</v>
      </c>
    </row>
    <row r="54" spans="1:103" ht="18.75" customHeight="1" x14ac:dyDescent="0.15">
      <c r="A54" s="57" t="s">
        <v>192</v>
      </c>
      <c r="B54" s="78">
        <v>42082</v>
      </c>
      <c r="C54" s="78">
        <v>21663</v>
      </c>
      <c r="D54" s="78">
        <v>20419</v>
      </c>
      <c r="E54" s="78">
        <v>15943</v>
      </c>
      <c r="F54" s="78">
        <v>8583</v>
      </c>
      <c r="G54" s="78">
        <v>7360</v>
      </c>
      <c r="H54" s="78">
        <v>1305</v>
      </c>
      <c r="I54" s="78">
        <v>716</v>
      </c>
      <c r="J54" s="78">
        <v>589</v>
      </c>
      <c r="K54" s="78">
        <v>1513</v>
      </c>
      <c r="L54" s="78">
        <v>837</v>
      </c>
      <c r="M54" s="78">
        <v>676</v>
      </c>
      <c r="N54" s="78">
        <v>876</v>
      </c>
      <c r="O54" s="78">
        <v>482</v>
      </c>
      <c r="P54" s="78">
        <v>394</v>
      </c>
      <c r="Q54" s="78">
        <v>385</v>
      </c>
      <c r="R54" s="78">
        <v>229</v>
      </c>
      <c r="S54" s="78">
        <v>156</v>
      </c>
      <c r="T54" s="78">
        <v>1066</v>
      </c>
      <c r="U54" s="78">
        <v>578</v>
      </c>
      <c r="V54" s="78">
        <v>488</v>
      </c>
      <c r="W54" s="78">
        <v>2205</v>
      </c>
      <c r="X54" s="78">
        <v>1212</v>
      </c>
      <c r="Y54" s="78">
        <v>993</v>
      </c>
      <c r="Z54" s="78">
        <v>1359</v>
      </c>
      <c r="AA54" s="78">
        <v>727</v>
      </c>
      <c r="AB54" s="78">
        <v>632</v>
      </c>
      <c r="AC54" s="78">
        <v>441</v>
      </c>
      <c r="AD54" s="78">
        <v>259</v>
      </c>
      <c r="AE54" s="78">
        <v>182</v>
      </c>
      <c r="AF54" s="78">
        <v>896</v>
      </c>
      <c r="AG54" s="78">
        <v>469</v>
      </c>
      <c r="AH54" s="78">
        <v>427</v>
      </c>
      <c r="AI54" s="78">
        <v>1187</v>
      </c>
      <c r="AJ54" s="78">
        <v>595</v>
      </c>
      <c r="AK54" s="78">
        <v>592</v>
      </c>
      <c r="AL54" s="78">
        <v>1827</v>
      </c>
      <c r="AM54" s="78">
        <v>968</v>
      </c>
      <c r="AN54" s="78">
        <v>859</v>
      </c>
      <c r="AO54" s="78">
        <v>665</v>
      </c>
      <c r="AP54" s="78">
        <v>337</v>
      </c>
      <c r="AQ54" s="78">
        <v>328</v>
      </c>
      <c r="AR54" s="78">
        <v>671</v>
      </c>
      <c r="AS54" s="78">
        <v>373</v>
      </c>
      <c r="AT54" s="78">
        <v>298</v>
      </c>
      <c r="AU54" s="78">
        <v>1547</v>
      </c>
      <c r="AV54" s="78">
        <v>801</v>
      </c>
      <c r="AW54" s="78">
        <v>746</v>
      </c>
      <c r="AX54" s="78">
        <v>26139</v>
      </c>
      <c r="AY54" s="78">
        <v>13080</v>
      </c>
      <c r="AZ54" s="78">
        <v>13059</v>
      </c>
      <c r="BA54" s="78">
        <v>2355</v>
      </c>
      <c r="BB54" s="78">
        <v>1233</v>
      </c>
      <c r="BC54" s="78">
        <v>1122</v>
      </c>
      <c r="BD54" s="78">
        <v>1097</v>
      </c>
      <c r="BE54" s="78">
        <v>579</v>
      </c>
      <c r="BF54" s="78">
        <v>518</v>
      </c>
      <c r="BG54" s="78">
        <v>1247</v>
      </c>
      <c r="BH54" s="78">
        <v>657</v>
      </c>
      <c r="BI54" s="78">
        <v>590</v>
      </c>
      <c r="BJ54" s="78">
        <v>1168</v>
      </c>
      <c r="BK54" s="78">
        <v>538</v>
      </c>
      <c r="BL54" s="78">
        <v>630</v>
      </c>
      <c r="BM54" s="78">
        <v>722</v>
      </c>
      <c r="BN54" s="78">
        <v>359</v>
      </c>
      <c r="BO54" s="78">
        <v>363</v>
      </c>
      <c r="BP54" s="78">
        <v>1791</v>
      </c>
      <c r="BQ54" s="78">
        <v>975</v>
      </c>
      <c r="BR54" s="78">
        <v>816</v>
      </c>
      <c r="BS54" s="78">
        <v>1217</v>
      </c>
      <c r="BT54" s="78">
        <v>650</v>
      </c>
      <c r="BU54" s="78">
        <v>567</v>
      </c>
      <c r="BV54" s="78">
        <v>2186</v>
      </c>
      <c r="BW54" s="78">
        <v>1110</v>
      </c>
      <c r="BX54" s="78">
        <v>1076</v>
      </c>
      <c r="BY54" s="78">
        <v>1062</v>
      </c>
      <c r="BZ54" s="78">
        <v>526</v>
      </c>
      <c r="CA54" s="78">
        <v>536</v>
      </c>
      <c r="CB54" s="78">
        <v>2176</v>
      </c>
      <c r="CC54" s="78">
        <v>1025</v>
      </c>
      <c r="CD54" s="78">
        <v>1151</v>
      </c>
      <c r="CE54" s="78">
        <v>1523</v>
      </c>
      <c r="CF54" s="78">
        <v>642</v>
      </c>
      <c r="CG54" s="78">
        <v>881</v>
      </c>
      <c r="CH54" s="78">
        <v>3057</v>
      </c>
      <c r="CI54" s="78">
        <v>1556</v>
      </c>
      <c r="CJ54" s="78">
        <v>1501</v>
      </c>
      <c r="CK54" s="78">
        <v>2064</v>
      </c>
      <c r="CL54" s="78">
        <v>1055</v>
      </c>
      <c r="CM54" s="78">
        <v>1009</v>
      </c>
      <c r="CN54" s="78">
        <v>1764</v>
      </c>
      <c r="CO54" s="78">
        <v>936</v>
      </c>
      <c r="CP54" s="78">
        <v>828</v>
      </c>
      <c r="CQ54" s="78">
        <v>1058</v>
      </c>
      <c r="CR54" s="78">
        <v>468</v>
      </c>
      <c r="CS54" s="78">
        <v>590</v>
      </c>
      <c r="CT54" s="78">
        <v>932</v>
      </c>
      <c r="CU54" s="78">
        <v>441</v>
      </c>
      <c r="CV54" s="78">
        <v>491</v>
      </c>
      <c r="CW54" s="78">
        <v>720</v>
      </c>
      <c r="CX54" s="78">
        <v>330</v>
      </c>
      <c r="CY54" s="78">
        <v>390</v>
      </c>
    </row>
    <row r="55" spans="1:103" ht="18.75" customHeight="1" x14ac:dyDescent="0.15">
      <c r="A55" s="87" t="s">
        <v>124</v>
      </c>
      <c r="B55" s="83">
        <v>7939</v>
      </c>
      <c r="C55" s="83">
        <v>4131</v>
      </c>
      <c r="D55" s="83">
        <v>3808</v>
      </c>
      <c r="E55" s="81">
        <v>3076</v>
      </c>
      <c r="F55" s="81">
        <v>1658</v>
      </c>
      <c r="G55" s="81">
        <v>1418</v>
      </c>
      <c r="H55" s="83">
        <v>255</v>
      </c>
      <c r="I55" s="84">
        <v>140</v>
      </c>
      <c r="J55" s="84">
        <v>115</v>
      </c>
      <c r="K55" s="83">
        <v>283</v>
      </c>
      <c r="L55" s="86">
        <v>165</v>
      </c>
      <c r="M55" s="86">
        <v>118</v>
      </c>
      <c r="N55" s="83">
        <v>164</v>
      </c>
      <c r="O55" s="81">
        <v>87</v>
      </c>
      <c r="P55" s="81">
        <v>77</v>
      </c>
      <c r="Q55" s="83">
        <v>60</v>
      </c>
      <c r="R55" s="82">
        <v>29</v>
      </c>
      <c r="S55" s="82">
        <v>31</v>
      </c>
      <c r="T55" s="83">
        <v>237</v>
      </c>
      <c r="U55" s="80">
        <v>138</v>
      </c>
      <c r="V55" s="80">
        <v>99</v>
      </c>
      <c r="W55" s="83">
        <v>454</v>
      </c>
      <c r="X55" s="84">
        <v>238</v>
      </c>
      <c r="Y55" s="84">
        <v>216</v>
      </c>
      <c r="Z55" s="83">
        <v>278</v>
      </c>
      <c r="AA55" s="84">
        <v>153</v>
      </c>
      <c r="AB55" s="84">
        <v>125</v>
      </c>
      <c r="AC55" s="83">
        <v>83</v>
      </c>
      <c r="AD55" s="81">
        <v>42</v>
      </c>
      <c r="AE55" s="81">
        <v>41</v>
      </c>
      <c r="AF55" s="83">
        <v>153</v>
      </c>
      <c r="AG55" s="80">
        <v>72</v>
      </c>
      <c r="AH55" s="80">
        <v>81</v>
      </c>
      <c r="AI55" s="83">
        <v>217</v>
      </c>
      <c r="AJ55" s="80">
        <v>106</v>
      </c>
      <c r="AK55" s="80">
        <v>111</v>
      </c>
      <c r="AL55" s="83">
        <v>353</v>
      </c>
      <c r="AM55" s="84">
        <v>182</v>
      </c>
      <c r="AN55" s="84">
        <v>171</v>
      </c>
      <c r="AO55" s="83">
        <v>108</v>
      </c>
      <c r="AP55" s="81">
        <v>60</v>
      </c>
      <c r="AQ55" s="81">
        <v>48</v>
      </c>
      <c r="AR55" s="83">
        <v>130</v>
      </c>
      <c r="AS55" s="80">
        <v>74</v>
      </c>
      <c r="AT55" s="80">
        <v>56</v>
      </c>
      <c r="AU55" s="83">
        <v>301</v>
      </c>
      <c r="AV55" s="84">
        <v>172</v>
      </c>
      <c r="AW55" s="84">
        <v>129</v>
      </c>
      <c r="AX55" s="81">
        <v>4863</v>
      </c>
      <c r="AY55" s="81">
        <v>2473</v>
      </c>
      <c r="AZ55" s="81">
        <v>2390</v>
      </c>
      <c r="BA55" s="81">
        <v>486</v>
      </c>
      <c r="BB55" s="84">
        <v>258</v>
      </c>
      <c r="BC55" s="84">
        <v>228</v>
      </c>
      <c r="BD55" s="81">
        <v>194</v>
      </c>
      <c r="BE55" s="80">
        <v>96</v>
      </c>
      <c r="BF55" s="80">
        <v>98</v>
      </c>
      <c r="BG55" s="81">
        <v>261</v>
      </c>
      <c r="BH55" s="81">
        <v>136</v>
      </c>
      <c r="BI55" s="81">
        <v>125</v>
      </c>
      <c r="BJ55" s="81">
        <v>216</v>
      </c>
      <c r="BK55" s="80">
        <v>99</v>
      </c>
      <c r="BL55" s="80">
        <v>117</v>
      </c>
      <c r="BM55" s="81">
        <v>138</v>
      </c>
      <c r="BN55" s="81">
        <v>74</v>
      </c>
      <c r="BO55" s="81">
        <v>64</v>
      </c>
      <c r="BP55" s="81">
        <v>352</v>
      </c>
      <c r="BQ55" s="80">
        <v>188</v>
      </c>
      <c r="BR55" s="80">
        <v>164</v>
      </c>
      <c r="BS55" s="81">
        <v>247</v>
      </c>
      <c r="BT55" s="80">
        <v>137</v>
      </c>
      <c r="BU55" s="80">
        <v>110</v>
      </c>
      <c r="BV55" s="81">
        <v>428</v>
      </c>
      <c r="BW55" s="80">
        <v>235</v>
      </c>
      <c r="BX55" s="80">
        <v>193</v>
      </c>
      <c r="BY55" s="81">
        <v>186</v>
      </c>
      <c r="BZ55" s="85">
        <v>105</v>
      </c>
      <c r="CA55" s="85">
        <v>81</v>
      </c>
      <c r="CB55" s="81">
        <v>356</v>
      </c>
      <c r="CC55" s="80">
        <v>156</v>
      </c>
      <c r="CD55" s="80">
        <v>200</v>
      </c>
      <c r="CE55" s="81">
        <v>200</v>
      </c>
      <c r="CF55" s="80">
        <v>75</v>
      </c>
      <c r="CG55" s="80">
        <v>125</v>
      </c>
      <c r="CH55" s="81">
        <v>601</v>
      </c>
      <c r="CI55" s="80">
        <v>302</v>
      </c>
      <c r="CJ55" s="80">
        <v>299</v>
      </c>
      <c r="CK55" s="81">
        <v>422</v>
      </c>
      <c r="CL55" s="84">
        <v>240</v>
      </c>
      <c r="CM55" s="84">
        <v>182</v>
      </c>
      <c r="CN55" s="81">
        <v>355</v>
      </c>
      <c r="CO55" s="80">
        <v>189</v>
      </c>
      <c r="CP55" s="80">
        <v>166</v>
      </c>
      <c r="CQ55" s="81">
        <v>178</v>
      </c>
      <c r="CR55" s="80">
        <v>76</v>
      </c>
      <c r="CS55" s="80">
        <v>102</v>
      </c>
      <c r="CT55" s="81">
        <v>159</v>
      </c>
      <c r="CU55" s="80">
        <v>67</v>
      </c>
      <c r="CV55" s="80">
        <v>92</v>
      </c>
      <c r="CW55" s="81">
        <v>84</v>
      </c>
      <c r="CX55" s="80">
        <v>40</v>
      </c>
      <c r="CY55" s="80">
        <v>44</v>
      </c>
    </row>
    <row r="56" spans="1:103" ht="18.75" customHeight="1" x14ac:dyDescent="0.15">
      <c r="A56" s="87" t="s">
        <v>123</v>
      </c>
      <c r="B56" s="83">
        <v>7689</v>
      </c>
      <c r="C56" s="83">
        <v>3980</v>
      </c>
      <c r="D56" s="83">
        <v>3709</v>
      </c>
      <c r="E56" s="81">
        <v>2849</v>
      </c>
      <c r="F56" s="81">
        <v>1538</v>
      </c>
      <c r="G56" s="81">
        <v>1311</v>
      </c>
      <c r="H56" s="83">
        <v>243</v>
      </c>
      <c r="I56" s="84">
        <v>142</v>
      </c>
      <c r="J56" s="84">
        <v>101</v>
      </c>
      <c r="K56" s="83">
        <v>259</v>
      </c>
      <c r="L56" s="86">
        <v>141</v>
      </c>
      <c r="M56" s="86">
        <v>118</v>
      </c>
      <c r="N56" s="83">
        <v>149</v>
      </c>
      <c r="O56" s="81">
        <v>96</v>
      </c>
      <c r="P56" s="81">
        <v>53</v>
      </c>
      <c r="Q56" s="83">
        <v>69</v>
      </c>
      <c r="R56" s="82">
        <v>47</v>
      </c>
      <c r="S56" s="82">
        <v>22</v>
      </c>
      <c r="T56" s="83">
        <v>201</v>
      </c>
      <c r="U56" s="80">
        <v>103</v>
      </c>
      <c r="V56" s="80">
        <v>98</v>
      </c>
      <c r="W56" s="83">
        <v>431</v>
      </c>
      <c r="X56" s="84">
        <v>227</v>
      </c>
      <c r="Y56" s="84">
        <v>204</v>
      </c>
      <c r="Z56" s="83">
        <v>242</v>
      </c>
      <c r="AA56" s="84">
        <v>130</v>
      </c>
      <c r="AB56" s="84">
        <v>112</v>
      </c>
      <c r="AC56" s="83">
        <v>76</v>
      </c>
      <c r="AD56" s="81">
        <v>37</v>
      </c>
      <c r="AE56" s="81">
        <v>39</v>
      </c>
      <c r="AF56" s="83">
        <v>143</v>
      </c>
      <c r="AG56" s="80">
        <v>72</v>
      </c>
      <c r="AH56" s="80">
        <v>71</v>
      </c>
      <c r="AI56" s="83">
        <v>224</v>
      </c>
      <c r="AJ56" s="80">
        <v>115</v>
      </c>
      <c r="AK56" s="80">
        <v>109</v>
      </c>
      <c r="AL56" s="83">
        <v>318</v>
      </c>
      <c r="AM56" s="84">
        <v>188</v>
      </c>
      <c r="AN56" s="84">
        <v>130</v>
      </c>
      <c r="AO56" s="83">
        <v>125</v>
      </c>
      <c r="AP56" s="81">
        <v>64</v>
      </c>
      <c r="AQ56" s="81">
        <v>61</v>
      </c>
      <c r="AR56" s="83">
        <v>113</v>
      </c>
      <c r="AS56" s="80">
        <v>59</v>
      </c>
      <c r="AT56" s="80">
        <v>54</v>
      </c>
      <c r="AU56" s="83">
        <v>256</v>
      </c>
      <c r="AV56" s="84">
        <v>117</v>
      </c>
      <c r="AW56" s="84">
        <v>139</v>
      </c>
      <c r="AX56" s="81">
        <v>4840</v>
      </c>
      <c r="AY56" s="81">
        <v>2442</v>
      </c>
      <c r="AZ56" s="81">
        <v>2398</v>
      </c>
      <c r="BA56" s="81">
        <v>483</v>
      </c>
      <c r="BB56" s="84">
        <v>256</v>
      </c>
      <c r="BC56" s="84">
        <v>227</v>
      </c>
      <c r="BD56" s="81">
        <v>201</v>
      </c>
      <c r="BE56" s="80">
        <v>109</v>
      </c>
      <c r="BF56" s="80">
        <v>92</v>
      </c>
      <c r="BG56" s="81">
        <v>255</v>
      </c>
      <c r="BH56" s="81">
        <v>144</v>
      </c>
      <c r="BI56" s="81">
        <v>111</v>
      </c>
      <c r="BJ56" s="81">
        <v>223</v>
      </c>
      <c r="BK56" s="80">
        <v>99</v>
      </c>
      <c r="BL56" s="80">
        <v>124</v>
      </c>
      <c r="BM56" s="81">
        <v>144</v>
      </c>
      <c r="BN56" s="81">
        <v>70</v>
      </c>
      <c r="BO56" s="81">
        <v>74</v>
      </c>
      <c r="BP56" s="81">
        <v>340</v>
      </c>
      <c r="BQ56" s="80">
        <v>181</v>
      </c>
      <c r="BR56" s="80">
        <v>159</v>
      </c>
      <c r="BS56" s="81">
        <v>209</v>
      </c>
      <c r="BT56" s="80">
        <v>113</v>
      </c>
      <c r="BU56" s="80">
        <v>96</v>
      </c>
      <c r="BV56" s="81">
        <v>407</v>
      </c>
      <c r="BW56" s="80">
        <v>209</v>
      </c>
      <c r="BX56" s="80">
        <v>198</v>
      </c>
      <c r="BY56" s="81">
        <v>205</v>
      </c>
      <c r="BZ56" s="85">
        <v>118</v>
      </c>
      <c r="CA56" s="85">
        <v>87</v>
      </c>
      <c r="CB56" s="81">
        <v>405</v>
      </c>
      <c r="CC56" s="80">
        <v>192</v>
      </c>
      <c r="CD56" s="80">
        <v>213</v>
      </c>
      <c r="CE56" s="81">
        <v>257</v>
      </c>
      <c r="CF56" s="80">
        <v>103</v>
      </c>
      <c r="CG56" s="80">
        <v>154</v>
      </c>
      <c r="CH56" s="81">
        <v>558</v>
      </c>
      <c r="CI56" s="80">
        <v>278</v>
      </c>
      <c r="CJ56" s="80">
        <v>280</v>
      </c>
      <c r="CK56" s="81">
        <v>386</v>
      </c>
      <c r="CL56" s="84">
        <v>183</v>
      </c>
      <c r="CM56" s="84">
        <v>203</v>
      </c>
      <c r="CN56" s="81">
        <v>300</v>
      </c>
      <c r="CO56" s="80">
        <v>167</v>
      </c>
      <c r="CP56" s="80">
        <v>133</v>
      </c>
      <c r="CQ56" s="81">
        <v>175</v>
      </c>
      <c r="CR56" s="80">
        <v>84</v>
      </c>
      <c r="CS56" s="80">
        <v>91</v>
      </c>
      <c r="CT56" s="81">
        <v>168</v>
      </c>
      <c r="CU56" s="80">
        <v>81</v>
      </c>
      <c r="CV56" s="80">
        <v>87</v>
      </c>
      <c r="CW56" s="81">
        <v>124</v>
      </c>
      <c r="CX56" s="80">
        <v>55</v>
      </c>
      <c r="CY56" s="80">
        <v>69</v>
      </c>
    </row>
    <row r="57" spans="1:103" ht="18.75" customHeight="1" x14ac:dyDescent="0.15">
      <c r="A57" s="87" t="s">
        <v>122</v>
      </c>
      <c r="B57" s="83">
        <v>8517</v>
      </c>
      <c r="C57" s="83">
        <v>4357</v>
      </c>
      <c r="D57" s="83">
        <v>4160</v>
      </c>
      <c r="E57" s="81">
        <v>3249</v>
      </c>
      <c r="F57" s="81">
        <v>1723</v>
      </c>
      <c r="G57" s="81">
        <v>1526</v>
      </c>
      <c r="H57" s="83">
        <v>265</v>
      </c>
      <c r="I57" s="84">
        <v>136</v>
      </c>
      <c r="J57" s="84">
        <v>129</v>
      </c>
      <c r="K57" s="83">
        <v>308</v>
      </c>
      <c r="L57" s="86">
        <v>172</v>
      </c>
      <c r="M57" s="86">
        <v>136</v>
      </c>
      <c r="N57" s="83">
        <v>181</v>
      </c>
      <c r="O57" s="81">
        <v>85</v>
      </c>
      <c r="P57" s="81">
        <v>96</v>
      </c>
      <c r="Q57" s="83">
        <v>83</v>
      </c>
      <c r="R57" s="82">
        <v>50</v>
      </c>
      <c r="S57" s="82">
        <v>33</v>
      </c>
      <c r="T57" s="83">
        <v>209</v>
      </c>
      <c r="U57" s="80">
        <v>104</v>
      </c>
      <c r="V57" s="80">
        <v>105</v>
      </c>
      <c r="W57" s="83">
        <v>423</v>
      </c>
      <c r="X57" s="84">
        <v>233</v>
      </c>
      <c r="Y57" s="84">
        <v>190</v>
      </c>
      <c r="Z57" s="83">
        <v>285</v>
      </c>
      <c r="AA57" s="84">
        <v>148</v>
      </c>
      <c r="AB57" s="84">
        <v>137</v>
      </c>
      <c r="AC57" s="83">
        <v>90</v>
      </c>
      <c r="AD57" s="81">
        <v>57</v>
      </c>
      <c r="AE57" s="81">
        <v>33</v>
      </c>
      <c r="AF57" s="83">
        <v>177</v>
      </c>
      <c r="AG57" s="80">
        <v>97</v>
      </c>
      <c r="AH57" s="80">
        <v>80</v>
      </c>
      <c r="AI57" s="83">
        <v>259</v>
      </c>
      <c r="AJ57" s="80">
        <v>130</v>
      </c>
      <c r="AK57" s="80">
        <v>129</v>
      </c>
      <c r="AL57" s="83">
        <v>354</v>
      </c>
      <c r="AM57" s="84">
        <v>176</v>
      </c>
      <c r="AN57" s="84">
        <v>178</v>
      </c>
      <c r="AO57" s="83">
        <v>138</v>
      </c>
      <c r="AP57" s="81">
        <v>71</v>
      </c>
      <c r="AQ57" s="81">
        <v>67</v>
      </c>
      <c r="AR57" s="83">
        <v>146</v>
      </c>
      <c r="AS57" s="80">
        <v>89</v>
      </c>
      <c r="AT57" s="80">
        <v>57</v>
      </c>
      <c r="AU57" s="83">
        <v>331</v>
      </c>
      <c r="AV57" s="84">
        <v>175</v>
      </c>
      <c r="AW57" s="84">
        <v>156</v>
      </c>
      <c r="AX57" s="81">
        <v>5268</v>
      </c>
      <c r="AY57" s="81">
        <v>2634</v>
      </c>
      <c r="AZ57" s="81">
        <v>2634</v>
      </c>
      <c r="BA57" s="81">
        <v>457</v>
      </c>
      <c r="BB57" s="84">
        <v>238</v>
      </c>
      <c r="BC57" s="84">
        <v>219</v>
      </c>
      <c r="BD57" s="81">
        <v>252</v>
      </c>
      <c r="BE57" s="80">
        <v>137</v>
      </c>
      <c r="BF57" s="80">
        <v>115</v>
      </c>
      <c r="BG57" s="81">
        <v>252</v>
      </c>
      <c r="BH57" s="81">
        <v>126</v>
      </c>
      <c r="BI57" s="81">
        <v>126</v>
      </c>
      <c r="BJ57" s="81">
        <v>218</v>
      </c>
      <c r="BK57" s="80">
        <v>101</v>
      </c>
      <c r="BL57" s="80">
        <v>117</v>
      </c>
      <c r="BM57" s="81">
        <v>145</v>
      </c>
      <c r="BN57" s="81">
        <v>69</v>
      </c>
      <c r="BO57" s="81">
        <v>76</v>
      </c>
      <c r="BP57" s="81">
        <v>342</v>
      </c>
      <c r="BQ57" s="80">
        <v>189</v>
      </c>
      <c r="BR57" s="80">
        <v>153</v>
      </c>
      <c r="BS57" s="81">
        <v>241</v>
      </c>
      <c r="BT57" s="80">
        <v>126</v>
      </c>
      <c r="BU57" s="80">
        <v>115</v>
      </c>
      <c r="BV57" s="81">
        <v>427</v>
      </c>
      <c r="BW57" s="80">
        <v>218</v>
      </c>
      <c r="BX57" s="80">
        <v>209</v>
      </c>
      <c r="BY57" s="81">
        <v>196</v>
      </c>
      <c r="BZ57" s="85">
        <v>94</v>
      </c>
      <c r="CA57" s="85">
        <v>102</v>
      </c>
      <c r="CB57" s="81">
        <v>465</v>
      </c>
      <c r="CC57" s="80">
        <v>231</v>
      </c>
      <c r="CD57" s="80">
        <v>234</v>
      </c>
      <c r="CE57" s="81">
        <v>304</v>
      </c>
      <c r="CF57" s="80">
        <v>132</v>
      </c>
      <c r="CG57" s="80">
        <v>172</v>
      </c>
      <c r="CH57" s="81">
        <v>623</v>
      </c>
      <c r="CI57" s="80">
        <v>321</v>
      </c>
      <c r="CJ57" s="80">
        <v>302</v>
      </c>
      <c r="CK57" s="81">
        <v>400</v>
      </c>
      <c r="CL57" s="84">
        <v>202</v>
      </c>
      <c r="CM57" s="84">
        <v>198</v>
      </c>
      <c r="CN57" s="81">
        <v>361</v>
      </c>
      <c r="CO57" s="80">
        <v>184</v>
      </c>
      <c r="CP57" s="80">
        <v>177</v>
      </c>
      <c r="CQ57" s="81">
        <v>237</v>
      </c>
      <c r="CR57" s="80">
        <v>100</v>
      </c>
      <c r="CS57" s="80">
        <v>137</v>
      </c>
      <c r="CT57" s="81">
        <v>184</v>
      </c>
      <c r="CU57" s="80">
        <v>95</v>
      </c>
      <c r="CV57" s="80">
        <v>89</v>
      </c>
      <c r="CW57" s="81">
        <v>164</v>
      </c>
      <c r="CX57" s="80">
        <v>71</v>
      </c>
      <c r="CY57" s="80">
        <v>93</v>
      </c>
    </row>
    <row r="58" spans="1:103" ht="18.75" customHeight="1" x14ac:dyDescent="0.15">
      <c r="A58" s="87" t="s">
        <v>121</v>
      </c>
      <c r="B58" s="83">
        <v>8885</v>
      </c>
      <c r="C58" s="83">
        <v>4550</v>
      </c>
      <c r="D58" s="83">
        <v>4335</v>
      </c>
      <c r="E58" s="81">
        <v>3315</v>
      </c>
      <c r="F58" s="81">
        <v>1795</v>
      </c>
      <c r="G58" s="81">
        <v>1520</v>
      </c>
      <c r="H58" s="83">
        <v>269</v>
      </c>
      <c r="I58" s="84">
        <v>154</v>
      </c>
      <c r="J58" s="84">
        <v>115</v>
      </c>
      <c r="K58" s="83">
        <v>339</v>
      </c>
      <c r="L58" s="86">
        <v>193</v>
      </c>
      <c r="M58" s="86">
        <v>146</v>
      </c>
      <c r="N58" s="83">
        <v>170</v>
      </c>
      <c r="O58" s="81">
        <v>97</v>
      </c>
      <c r="P58" s="81">
        <v>73</v>
      </c>
      <c r="Q58" s="83">
        <v>79</v>
      </c>
      <c r="R58" s="82">
        <v>42</v>
      </c>
      <c r="S58" s="82">
        <v>37</v>
      </c>
      <c r="T58" s="83">
        <v>206</v>
      </c>
      <c r="U58" s="80">
        <v>110</v>
      </c>
      <c r="V58" s="80">
        <v>96</v>
      </c>
      <c r="W58" s="83">
        <v>443</v>
      </c>
      <c r="X58" s="84">
        <v>257</v>
      </c>
      <c r="Y58" s="84">
        <v>186</v>
      </c>
      <c r="Z58" s="83">
        <v>274</v>
      </c>
      <c r="AA58" s="84">
        <v>149</v>
      </c>
      <c r="AB58" s="84">
        <v>125</v>
      </c>
      <c r="AC58" s="83">
        <v>88</v>
      </c>
      <c r="AD58" s="81">
        <v>56</v>
      </c>
      <c r="AE58" s="81">
        <v>32</v>
      </c>
      <c r="AF58" s="83">
        <v>220</v>
      </c>
      <c r="AG58" s="80">
        <v>117</v>
      </c>
      <c r="AH58" s="80">
        <v>103</v>
      </c>
      <c r="AI58" s="83">
        <v>245</v>
      </c>
      <c r="AJ58" s="80">
        <v>120</v>
      </c>
      <c r="AK58" s="80">
        <v>125</v>
      </c>
      <c r="AL58" s="83">
        <v>384</v>
      </c>
      <c r="AM58" s="84">
        <v>198</v>
      </c>
      <c r="AN58" s="84">
        <v>186</v>
      </c>
      <c r="AO58" s="83">
        <v>133</v>
      </c>
      <c r="AP58" s="81">
        <v>66</v>
      </c>
      <c r="AQ58" s="81">
        <v>67</v>
      </c>
      <c r="AR58" s="83">
        <v>137</v>
      </c>
      <c r="AS58" s="80">
        <v>74</v>
      </c>
      <c r="AT58" s="80">
        <v>63</v>
      </c>
      <c r="AU58" s="83">
        <v>328</v>
      </c>
      <c r="AV58" s="84">
        <v>162</v>
      </c>
      <c r="AW58" s="84">
        <v>166</v>
      </c>
      <c r="AX58" s="81">
        <v>5570</v>
      </c>
      <c r="AY58" s="81">
        <v>2755</v>
      </c>
      <c r="AZ58" s="81">
        <v>2815</v>
      </c>
      <c r="BA58" s="81">
        <v>461</v>
      </c>
      <c r="BB58" s="84">
        <v>239</v>
      </c>
      <c r="BC58" s="84">
        <v>222</v>
      </c>
      <c r="BD58" s="81">
        <v>240</v>
      </c>
      <c r="BE58" s="80">
        <v>130</v>
      </c>
      <c r="BF58" s="80">
        <v>110</v>
      </c>
      <c r="BG58" s="81">
        <v>232</v>
      </c>
      <c r="BH58" s="81">
        <v>120</v>
      </c>
      <c r="BI58" s="81">
        <v>112</v>
      </c>
      <c r="BJ58" s="81">
        <v>241</v>
      </c>
      <c r="BK58" s="80">
        <v>119</v>
      </c>
      <c r="BL58" s="80">
        <v>122</v>
      </c>
      <c r="BM58" s="81">
        <v>146</v>
      </c>
      <c r="BN58" s="81">
        <v>73</v>
      </c>
      <c r="BO58" s="81">
        <v>73</v>
      </c>
      <c r="BP58" s="81">
        <v>373</v>
      </c>
      <c r="BQ58" s="80">
        <v>215</v>
      </c>
      <c r="BR58" s="80">
        <v>158</v>
      </c>
      <c r="BS58" s="81">
        <v>255</v>
      </c>
      <c r="BT58" s="80">
        <v>140</v>
      </c>
      <c r="BU58" s="80">
        <v>115</v>
      </c>
      <c r="BV58" s="81">
        <v>457</v>
      </c>
      <c r="BW58" s="80">
        <v>213</v>
      </c>
      <c r="BX58" s="80">
        <v>244</v>
      </c>
      <c r="BY58" s="81">
        <v>247</v>
      </c>
      <c r="BZ58" s="85">
        <v>108</v>
      </c>
      <c r="CA58" s="85">
        <v>139</v>
      </c>
      <c r="CB58" s="81">
        <v>447</v>
      </c>
      <c r="CC58" s="80">
        <v>217</v>
      </c>
      <c r="CD58" s="80">
        <v>230</v>
      </c>
      <c r="CE58" s="81">
        <v>380</v>
      </c>
      <c r="CF58" s="80">
        <v>168</v>
      </c>
      <c r="CG58" s="80">
        <v>212</v>
      </c>
      <c r="CH58" s="81">
        <v>642</v>
      </c>
      <c r="CI58" s="80">
        <v>328</v>
      </c>
      <c r="CJ58" s="80">
        <v>314</v>
      </c>
      <c r="CK58" s="81">
        <v>456</v>
      </c>
      <c r="CL58" s="84">
        <v>217</v>
      </c>
      <c r="CM58" s="84">
        <v>239</v>
      </c>
      <c r="CN58" s="81">
        <v>390</v>
      </c>
      <c r="CO58" s="80">
        <v>206</v>
      </c>
      <c r="CP58" s="80">
        <v>184</v>
      </c>
      <c r="CQ58" s="81">
        <v>241</v>
      </c>
      <c r="CR58" s="80">
        <v>99</v>
      </c>
      <c r="CS58" s="80">
        <v>142</v>
      </c>
      <c r="CT58" s="81">
        <v>198</v>
      </c>
      <c r="CU58" s="80">
        <v>95</v>
      </c>
      <c r="CV58" s="80">
        <v>103</v>
      </c>
      <c r="CW58" s="81">
        <v>164</v>
      </c>
      <c r="CX58" s="80">
        <v>68</v>
      </c>
      <c r="CY58" s="80">
        <v>96</v>
      </c>
    </row>
    <row r="59" spans="1:103" ht="18.75" customHeight="1" x14ac:dyDescent="0.15">
      <c r="A59" s="87" t="s">
        <v>120</v>
      </c>
      <c r="B59" s="83">
        <v>9052</v>
      </c>
      <c r="C59" s="83">
        <v>4645</v>
      </c>
      <c r="D59" s="83">
        <v>4407</v>
      </c>
      <c r="E59" s="81">
        <v>3454</v>
      </c>
      <c r="F59" s="81">
        <v>1869</v>
      </c>
      <c r="G59" s="81">
        <v>1585</v>
      </c>
      <c r="H59" s="83">
        <v>273</v>
      </c>
      <c r="I59" s="84">
        <v>144</v>
      </c>
      <c r="J59" s="84">
        <v>129</v>
      </c>
      <c r="K59" s="83">
        <v>324</v>
      </c>
      <c r="L59" s="86">
        <v>166</v>
      </c>
      <c r="M59" s="86">
        <v>158</v>
      </c>
      <c r="N59" s="83">
        <v>212</v>
      </c>
      <c r="O59" s="81">
        <v>117</v>
      </c>
      <c r="P59" s="81">
        <v>95</v>
      </c>
      <c r="Q59" s="83">
        <v>94</v>
      </c>
      <c r="R59" s="82">
        <v>61</v>
      </c>
      <c r="S59" s="82">
        <v>33</v>
      </c>
      <c r="T59" s="83">
        <v>213</v>
      </c>
      <c r="U59" s="80">
        <v>123</v>
      </c>
      <c r="V59" s="80">
        <v>90</v>
      </c>
      <c r="W59" s="83">
        <v>454</v>
      </c>
      <c r="X59" s="84">
        <v>257</v>
      </c>
      <c r="Y59" s="84">
        <v>197</v>
      </c>
      <c r="Z59" s="83">
        <v>280</v>
      </c>
      <c r="AA59" s="84">
        <v>147</v>
      </c>
      <c r="AB59" s="84">
        <v>133</v>
      </c>
      <c r="AC59" s="83">
        <v>104</v>
      </c>
      <c r="AD59" s="81">
        <v>67</v>
      </c>
      <c r="AE59" s="81">
        <v>37</v>
      </c>
      <c r="AF59" s="83">
        <v>203</v>
      </c>
      <c r="AG59" s="80">
        <v>111</v>
      </c>
      <c r="AH59" s="80">
        <v>92</v>
      </c>
      <c r="AI59" s="83">
        <v>242</v>
      </c>
      <c r="AJ59" s="80">
        <v>124</v>
      </c>
      <c r="AK59" s="80">
        <v>118</v>
      </c>
      <c r="AL59" s="83">
        <v>418</v>
      </c>
      <c r="AM59" s="84">
        <v>224</v>
      </c>
      <c r="AN59" s="84">
        <v>194</v>
      </c>
      <c r="AO59" s="83">
        <v>161</v>
      </c>
      <c r="AP59" s="81">
        <v>76</v>
      </c>
      <c r="AQ59" s="81">
        <v>85</v>
      </c>
      <c r="AR59" s="83">
        <v>145</v>
      </c>
      <c r="AS59" s="80">
        <v>77</v>
      </c>
      <c r="AT59" s="80">
        <v>68</v>
      </c>
      <c r="AU59" s="83">
        <v>331</v>
      </c>
      <c r="AV59" s="84">
        <v>175</v>
      </c>
      <c r="AW59" s="84">
        <v>156</v>
      </c>
      <c r="AX59" s="81">
        <v>5598</v>
      </c>
      <c r="AY59" s="81">
        <v>2776</v>
      </c>
      <c r="AZ59" s="81">
        <v>2822</v>
      </c>
      <c r="BA59" s="81">
        <v>468</v>
      </c>
      <c r="BB59" s="84">
        <v>242</v>
      </c>
      <c r="BC59" s="84">
        <v>226</v>
      </c>
      <c r="BD59" s="81">
        <v>210</v>
      </c>
      <c r="BE59" s="80">
        <v>107</v>
      </c>
      <c r="BF59" s="80">
        <v>103</v>
      </c>
      <c r="BG59" s="81">
        <v>247</v>
      </c>
      <c r="BH59" s="81">
        <v>131</v>
      </c>
      <c r="BI59" s="81">
        <v>116</v>
      </c>
      <c r="BJ59" s="81">
        <v>270</v>
      </c>
      <c r="BK59" s="80">
        <v>120</v>
      </c>
      <c r="BL59" s="80">
        <v>150</v>
      </c>
      <c r="BM59" s="81">
        <v>149</v>
      </c>
      <c r="BN59" s="81">
        <v>73</v>
      </c>
      <c r="BO59" s="81">
        <v>76</v>
      </c>
      <c r="BP59" s="81">
        <v>384</v>
      </c>
      <c r="BQ59" s="80">
        <v>202</v>
      </c>
      <c r="BR59" s="80">
        <v>182</v>
      </c>
      <c r="BS59" s="81">
        <v>265</v>
      </c>
      <c r="BT59" s="80">
        <v>134</v>
      </c>
      <c r="BU59" s="80">
        <v>131</v>
      </c>
      <c r="BV59" s="81">
        <v>467</v>
      </c>
      <c r="BW59" s="80">
        <v>235</v>
      </c>
      <c r="BX59" s="80">
        <v>232</v>
      </c>
      <c r="BY59" s="81">
        <v>228</v>
      </c>
      <c r="BZ59" s="85">
        <v>101</v>
      </c>
      <c r="CA59" s="85">
        <v>127</v>
      </c>
      <c r="CB59" s="81">
        <v>503</v>
      </c>
      <c r="CC59" s="80">
        <v>229</v>
      </c>
      <c r="CD59" s="80">
        <v>274</v>
      </c>
      <c r="CE59" s="81">
        <v>382</v>
      </c>
      <c r="CF59" s="80">
        <v>164</v>
      </c>
      <c r="CG59" s="80">
        <v>218</v>
      </c>
      <c r="CH59" s="81">
        <v>633</v>
      </c>
      <c r="CI59" s="80">
        <v>327</v>
      </c>
      <c r="CJ59" s="80">
        <v>306</v>
      </c>
      <c r="CK59" s="81">
        <v>400</v>
      </c>
      <c r="CL59" s="84">
        <v>213</v>
      </c>
      <c r="CM59" s="84">
        <v>187</v>
      </c>
      <c r="CN59" s="81">
        <v>358</v>
      </c>
      <c r="CO59" s="80">
        <v>190</v>
      </c>
      <c r="CP59" s="80">
        <v>168</v>
      </c>
      <c r="CQ59" s="81">
        <v>227</v>
      </c>
      <c r="CR59" s="80">
        <v>109</v>
      </c>
      <c r="CS59" s="80">
        <v>118</v>
      </c>
      <c r="CT59" s="81">
        <v>223</v>
      </c>
      <c r="CU59" s="80">
        <v>103</v>
      </c>
      <c r="CV59" s="80">
        <v>120</v>
      </c>
      <c r="CW59" s="81">
        <v>184</v>
      </c>
      <c r="CX59" s="80">
        <v>96</v>
      </c>
      <c r="CY59" s="80">
        <v>88</v>
      </c>
    </row>
    <row r="60" spans="1:103" ht="18.75" customHeight="1" x14ac:dyDescent="0.15">
      <c r="A60" s="57" t="s">
        <v>191</v>
      </c>
      <c r="B60" s="78">
        <v>41073</v>
      </c>
      <c r="C60" s="78">
        <v>20202</v>
      </c>
      <c r="D60" s="78">
        <v>20871</v>
      </c>
      <c r="E60" s="78">
        <v>15522</v>
      </c>
      <c r="F60" s="78">
        <v>7979</v>
      </c>
      <c r="G60" s="78">
        <v>7543</v>
      </c>
      <c r="H60" s="78">
        <v>1182</v>
      </c>
      <c r="I60" s="78">
        <v>597</v>
      </c>
      <c r="J60" s="78">
        <v>585</v>
      </c>
      <c r="K60" s="78">
        <v>1365</v>
      </c>
      <c r="L60" s="78">
        <v>691</v>
      </c>
      <c r="M60" s="78">
        <v>674</v>
      </c>
      <c r="N60" s="78">
        <v>956</v>
      </c>
      <c r="O60" s="78">
        <v>505</v>
      </c>
      <c r="P60" s="78">
        <v>451</v>
      </c>
      <c r="Q60" s="78">
        <v>395</v>
      </c>
      <c r="R60" s="78">
        <v>221</v>
      </c>
      <c r="S60" s="78">
        <v>174</v>
      </c>
      <c r="T60" s="78">
        <v>977</v>
      </c>
      <c r="U60" s="78">
        <v>497</v>
      </c>
      <c r="V60" s="78">
        <v>480</v>
      </c>
      <c r="W60" s="78">
        <v>1783</v>
      </c>
      <c r="X60" s="78">
        <v>956</v>
      </c>
      <c r="Y60" s="78">
        <v>827</v>
      </c>
      <c r="Z60" s="78">
        <v>1150</v>
      </c>
      <c r="AA60" s="78">
        <v>590</v>
      </c>
      <c r="AB60" s="78">
        <v>560</v>
      </c>
      <c r="AC60" s="78">
        <v>508</v>
      </c>
      <c r="AD60" s="78">
        <v>272</v>
      </c>
      <c r="AE60" s="78">
        <v>236</v>
      </c>
      <c r="AF60" s="78">
        <v>1000</v>
      </c>
      <c r="AG60" s="78">
        <v>534</v>
      </c>
      <c r="AH60" s="78">
        <v>466</v>
      </c>
      <c r="AI60" s="78">
        <v>1149</v>
      </c>
      <c r="AJ60" s="78">
        <v>548</v>
      </c>
      <c r="AK60" s="78">
        <v>601</v>
      </c>
      <c r="AL60" s="78">
        <v>1903</v>
      </c>
      <c r="AM60" s="78">
        <v>967</v>
      </c>
      <c r="AN60" s="78">
        <v>936</v>
      </c>
      <c r="AO60" s="78">
        <v>786</v>
      </c>
      <c r="AP60" s="78">
        <v>408</v>
      </c>
      <c r="AQ60" s="78">
        <v>378</v>
      </c>
      <c r="AR60" s="78">
        <v>876</v>
      </c>
      <c r="AS60" s="78">
        <v>451</v>
      </c>
      <c r="AT60" s="78">
        <v>425</v>
      </c>
      <c r="AU60" s="78">
        <v>1492</v>
      </c>
      <c r="AV60" s="78">
        <v>742</v>
      </c>
      <c r="AW60" s="78">
        <v>750</v>
      </c>
      <c r="AX60" s="78">
        <v>25551</v>
      </c>
      <c r="AY60" s="78">
        <v>12223</v>
      </c>
      <c r="AZ60" s="78">
        <v>13328</v>
      </c>
      <c r="BA60" s="78">
        <v>1997</v>
      </c>
      <c r="BB60" s="78">
        <v>950</v>
      </c>
      <c r="BC60" s="78">
        <v>1047</v>
      </c>
      <c r="BD60" s="78">
        <v>955</v>
      </c>
      <c r="BE60" s="78">
        <v>464</v>
      </c>
      <c r="BF60" s="78">
        <v>491</v>
      </c>
      <c r="BG60" s="78">
        <v>1102</v>
      </c>
      <c r="BH60" s="78">
        <v>575</v>
      </c>
      <c r="BI60" s="78">
        <v>527</v>
      </c>
      <c r="BJ60" s="78">
        <v>1316</v>
      </c>
      <c r="BK60" s="78">
        <v>587</v>
      </c>
      <c r="BL60" s="78">
        <v>729</v>
      </c>
      <c r="BM60" s="78">
        <v>604</v>
      </c>
      <c r="BN60" s="78">
        <v>255</v>
      </c>
      <c r="BO60" s="78">
        <v>349</v>
      </c>
      <c r="BP60" s="78">
        <v>1836</v>
      </c>
      <c r="BQ60" s="78">
        <v>877</v>
      </c>
      <c r="BR60" s="78">
        <v>959</v>
      </c>
      <c r="BS60" s="78">
        <v>1131</v>
      </c>
      <c r="BT60" s="78">
        <v>566</v>
      </c>
      <c r="BU60" s="78">
        <v>565</v>
      </c>
      <c r="BV60" s="78">
        <v>1992</v>
      </c>
      <c r="BW60" s="78">
        <v>919</v>
      </c>
      <c r="BX60" s="78">
        <v>1073</v>
      </c>
      <c r="BY60" s="78">
        <v>1049</v>
      </c>
      <c r="BZ60" s="78">
        <v>503</v>
      </c>
      <c r="CA60" s="78">
        <v>546</v>
      </c>
      <c r="CB60" s="78">
        <v>2322</v>
      </c>
      <c r="CC60" s="78">
        <v>1087</v>
      </c>
      <c r="CD60" s="78">
        <v>1235</v>
      </c>
      <c r="CE60" s="78">
        <v>1990</v>
      </c>
      <c r="CF60" s="78">
        <v>913</v>
      </c>
      <c r="CG60" s="78">
        <v>1077</v>
      </c>
      <c r="CH60" s="78">
        <v>2331</v>
      </c>
      <c r="CI60" s="78">
        <v>1222</v>
      </c>
      <c r="CJ60" s="78">
        <v>1109</v>
      </c>
      <c r="CK60" s="78">
        <v>2094</v>
      </c>
      <c r="CL60" s="78">
        <v>1013</v>
      </c>
      <c r="CM60" s="78">
        <v>1081</v>
      </c>
      <c r="CN60" s="78">
        <v>1570</v>
      </c>
      <c r="CO60" s="78">
        <v>801</v>
      </c>
      <c r="CP60" s="78">
        <v>769</v>
      </c>
      <c r="CQ60" s="78">
        <v>1340</v>
      </c>
      <c r="CR60" s="78">
        <v>604</v>
      </c>
      <c r="CS60" s="78">
        <v>736</v>
      </c>
      <c r="CT60" s="78">
        <v>1008</v>
      </c>
      <c r="CU60" s="78">
        <v>474</v>
      </c>
      <c r="CV60" s="78">
        <v>534</v>
      </c>
      <c r="CW60" s="78">
        <v>914</v>
      </c>
      <c r="CX60" s="78">
        <v>413</v>
      </c>
      <c r="CY60" s="78">
        <v>501</v>
      </c>
    </row>
    <row r="61" spans="1:103" ht="18.75" customHeight="1" x14ac:dyDescent="0.15">
      <c r="A61" s="87" t="s">
        <v>118</v>
      </c>
      <c r="B61" s="83">
        <v>8745</v>
      </c>
      <c r="C61" s="83">
        <v>4347</v>
      </c>
      <c r="D61" s="83">
        <v>4398</v>
      </c>
      <c r="E61" s="81">
        <v>3282</v>
      </c>
      <c r="F61" s="81">
        <v>1735</v>
      </c>
      <c r="G61" s="81">
        <v>1547</v>
      </c>
      <c r="H61" s="83">
        <v>244</v>
      </c>
      <c r="I61" s="84">
        <v>137</v>
      </c>
      <c r="J61" s="84">
        <v>107</v>
      </c>
      <c r="K61" s="83">
        <v>286</v>
      </c>
      <c r="L61" s="86">
        <v>151</v>
      </c>
      <c r="M61" s="86">
        <v>135</v>
      </c>
      <c r="N61" s="83">
        <v>185</v>
      </c>
      <c r="O61" s="81">
        <v>89</v>
      </c>
      <c r="P61" s="81">
        <v>96</v>
      </c>
      <c r="Q61" s="83">
        <v>74</v>
      </c>
      <c r="R61" s="82">
        <v>42</v>
      </c>
      <c r="S61" s="82">
        <v>32</v>
      </c>
      <c r="T61" s="83">
        <v>230</v>
      </c>
      <c r="U61" s="80">
        <v>114</v>
      </c>
      <c r="V61" s="80">
        <v>116</v>
      </c>
      <c r="W61" s="83">
        <v>423</v>
      </c>
      <c r="X61" s="84">
        <v>235</v>
      </c>
      <c r="Y61" s="84">
        <v>188</v>
      </c>
      <c r="Z61" s="83">
        <v>261</v>
      </c>
      <c r="AA61" s="84">
        <v>142</v>
      </c>
      <c r="AB61" s="84">
        <v>119</v>
      </c>
      <c r="AC61" s="83">
        <v>119</v>
      </c>
      <c r="AD61" s="81">
        <v>65</v>
      </c>
      <c r="AE61" s="81">
        <v>54</v>
      </c>
      <c r="AF61" s="83">
        <v>199</v>
      </c>
      <c r="AG61" s="80">
        <v>112</v>
      </c>
      <c r="AH61" s="80">
        <v>87</v>
      </c>
      <c r="AI61" s="83">
        <v>224</v>
      </c>
      <c r="AJ61" s="80">
        <v>113</v>
      </c>
      <c r="AK61" s="80">
        <v>111</v>
      </c>
      <c r="AL61" s="83">
        <v>412</v>
      </c>
      <c r="AM61" s="84">
        <v>211</v>
      </c>
      <c r="AN61" s="84">
        <v>201</v>
      </c>
      <c r="AO61" s="83">
        <v>150</v>
      </c>
      <c r="AP61" s="81">
        <v>80</v>
      </c>
      <c r="AQ61" s="81">
        <v>70</v>
      </c>
      <c r="AR61" s="83">
        <v>168</v>
      </c>
      <c r="AS61" s="80">
        <v>89</v>
      </c>
      <c r="AT61" s="80">
        <v>79</v>
      </c>
      <c r="AU61" s="83">
        <v>307</v>
      </c>
      <c r="AV61" s="84">
        <v>155</v>
      </c>
      <c r="AW61" s="84">
        <v>152</v>
      </c>
      <c r="AX61" s="81">
        <v>5463</v>
      </c>
      <c r="AY61" s="81">
        <v>2612</v>
      </c>
      <c r="AZ61" s="81">
        <v>2851</v>
      </c>
      <c r="BA61" s="81">
        <v>427</v>
      </c>
      <c r="BB61" s="84">
        <v>203</v>
      </c>
      <c r="BC61" s="84">
        <v>224</v>
      </c>
      <c r="BD61" s="81">
        <v>205</v>
      </c>
      <c r="BE61" s="80">
        <v>100</v>
      </c>
      <c r="BF61" s="80">
        <v>105</v>
      </c>
      <c r="BG61" s="81">
        <v>260</v>
      </c>
      <c r="BH61" s="81">
        <v>133</v>
      </c>
      <c r="BI61" s="81">
        <v>127</v>
      </c>
      <c r="BJ61" s="81">
        <v>253</v>
      </c>
      <c r="BK61" s="80">
        <v>107</v>
      </c>
      <c r="BL61" s="80">
        <v>146</v>
      </c>
      <c r="BM61" s="81">
        <v>129</v>
      </c>
      <c r="BN61" s="81">
        <v>61</v>
      </c>
      <c r="BO61" s="81">
        <v>68</v>
      </c>
      <c r="BP61" s="81">
        <v>389</v>
      </c>
      <c r="BQ61" s="80">
        <v>174</v>
      </c>
      <c r="BR61" s="80">
        <v>215</v>
      </c>
      <c r="BS61" s="81">
        <v>244</v>
      </c>
      <c r="BT61" s="80">
        <v>124</v>
      </c>
      <c r="BU61" s="80">
        <v>120</v>
      </c>
      <c r="BV61" s="81">
        <v>411</v>
      </c>
      <c r="BW61" s="80">
        <v>205</v>
      </c>
      <c r="BX61" s="80">
        <v>206</v>
      </c>
      <c r="BY61" s="81">
        <v>203</v>
      </c>
      <c r="BZ61" s="85">
        <v>100</v>
      </c>
      <c r="CA61" s="85">
        <v>103</v>
      </c>
      <c r="CB61" s="81">
        <v>514</v>
      </c>
      <c r="CC61" s="80">
        <v>250</v>
      </c>
      <c r="CD61" s="80">
        <v>264</v>
      </c>
      <c r="CE61" s="81">
        <v>394</v>
      </c>
      <c r="CF61" s="80">
        <v>174</v>
      </c>
      <c r="CG61" s="80">
        <v>220</v>
      </c>
      <c r="CH61" s="81">
        <v>558</v>
      </c>
      <c r="CI61" s="80">
        <v>304</v>
      </c>
      <c r="CJ61" s="80">
        <v>254</v>
      </c>
      <c r="CK61" s="81">
        <v>458</v>
      </c>
      <c r="CL61" s="84">
        <v>205</v>
      </c>
      <c r="CM61" s="84">
        <v>253</v>
      </c>
      <c r="CN61" s="81">
        <v>326</v>
      </c>
      <c r="CO61" s="80">
        <v>174</v>
      </c>
      <c r="CP61" s="80">
        <v>152</v>
      </c>
      <c r="CQ61" s="81">
        <v>298</v>
      </c>
      <c r="CR61" s="80">
        <v>132</v>
      </c>
      <c r="CS61" s="80">
        <v>166</v>
      </c>
      <c r="CT61" s="81">
        <v>200</v>
      </c>
      <c r="CU61" s="80">
        <v>86</v>
      </c>
      <c r="CV61" s="80">
        <v>114</v>
      </c>
      <c r="CW61" s="81">
        <v>194</v>
      </c>
      <c r="CX61" s="80">
        <v>80</v>
      </c>
      <c r="CY61" s="80">
        <v>114</v>
      </c>
    </row>
    <row r="62" spans="1:103" ht="18.75" customHeight="1" x14ac:dyDescent="0.15">
      <c r="A62" s="87" t="s">
        <v>117</v>
      </c>
      <c r="B62" s="83">
        <v>8584</v>
      </c>
      <c r="C62" s="83">
        <v>4243</v>
      </c>
      <c r="D62" s="83">
        <v>4341</v>
      </c>
      <c r="E62" s="81">
        <v>3201</v>
      </c>
      <c r="F62" s="81">
        <v>1640</v>
      </c>
      <c r="G62" s="81">
        <v>1561</v>
      </c>
      <c r="H62" s="83">
        <v>240</v>
      </c>
      <c r="I62" s="84">
        <v>119</v>
      </c>
      <c r="J62" s="84">
        <v>121</v>
      </c>
      <c r="K62" s="83">
        <v>278</v>
      </c>
      <c r="L62" s="86">
        <v>143</v>
      </c>
      <c r="M62" s="86">
        <v>135</v>
      </c>
      <c r="N62" s="83">
        <v>188</v>
      </c>
      <c r="O62" s="81">
        <v>108</v>
      </c>
      <c r="P62" s="81">
        <v>80</v>
      </c>
      <c r="Q62" s="83">
        <v>79</v>
      </c>
      <c r="R62" s="82">
        <v>44</v>
      </c>
      <c r="S62" s="82">
        <v>35</v>
      </c>
      <c r="T62" s="83">
        <v>199</v>
      </c>
      <c r="U62" s="80">
        <v>104</v>
      </c>
      <c r="V62" s="80">
        <v>95</v>
      </c>
      <c r="W62" s="83">
        <v>374</v>
      </c>
      <c r="X62" s="84">
        <v>213</v>
      </c>
      <c r="Y62" s="84">
        <v>161</v>
      </c>
      <c r="Z62" s="83">
        <v>264</v>
      </c>
      <c r="AA62" s="84">
        <v>130</v>
      </c>
      <c r="AB62" s="84">
        <v>134</v>
      </c>
      <c r="AC62" s="83">
        <v>100</v>
      </c>
      <c r="AD62" s="81">
        <v>54</v>
      </c>
      <c r="AE62" s="81">
        <v>46</v>
      </c>
      <c r="AF62" s="83">
        <v>231</v>
      </c>
      <c r="AG62" s="80">
        <v>116</v>
      </c>
      <c r="AH62" s="80">
        <v>115</v>
      </c>
      <c r="AI62" s="83">
        <v>228</v>
      </c>
      <c r="AJ62" s="80">
        <v>101</v>
      </c>
      <c r="AK62" s="80">
        <v>127</v>
      </c>
      <c r="AL62" s="83">
        <v>371</v>
      </c>
      <c r="AM62" s="84">
        <v>181</v>
      </c>
      <c r="AN62" s="84">
        <v>190</v>
      </c>
      <c r="AO62" s="83">
        <v>164</v>
      </c>
      <c r="AP62" s="81">
        <v>90</v>
      </c>
      <c r="AQ62" s="81">
        <v>74</v>
      </c>
      <c r="AR62" s="83">
        <v>182</v>
      </c>
      <c r="AS62" s="80">
        <v>94</v>
      </c>
      <c r="AT62" s="80">
        <v>88</v>
      </c>
      <c r="AU62" s="83">
        <v>303</v>
      </c>
      <c r="AV62" s="84">
        <v>143</v>
      </c>
      <c r="AW62" s="84">
        <v>160</v>
      </c>
      <c r="AX62" s="81">
        <v>5383</v>
      </c>
      <c r="AY62" s="81">
        <v>2603</v>
      </c>
      <c r="AZ62" s="81">
        <v>2780</v>
      </c>
      <c r="BA62" s="81">
        <v>427</v>
      </c>
      <c r="BB62" s="84">
        <v>203</v>
      </c>
      <c r="BC62" s="84">
        <v>224</v>
      </c>
      <c r="BD62" s="81">
        <v>217</v>
      </c>
      <c r="BE62" s="80">
        <v>106</v>
      </c>
      <c r="BF62" s="80">
        <v>111</v>
      </c>
      <c r="BG62" s="81">
        <v>210</v>
      </c>
      <c r="BH62" s="81">
        <v>109</v>
      </c>
      <c r="BI62" s="81">
        <v>101</v>
      </c>
      <c r="BJ62" s="81">
        <v>253</v>
      </c>
      <c r="BK62" s="80">
        <v>116</v>
      </c>
      <c r="BL62" s="80">
        <v>137</v>
      </c>
      <c r="BM62" s="81">
        <v>119</v>
      </c>
      <c r="BN62" s="81">
        <v>50</v>
      </c>
      <c r="BO62" s="81">
        <v>69</v>
      </c>
      <c r="BP62" s="81">
        <v>363</v>
      </c>
      <c r="BQ62" s="80">
        <v>192</v>
      </c>
      <c r="BR62" s="80">
        <v>171</v>
      </c>
      <c r="BS62" s="81">
        <v>228</v>
      </c>
      <c r="BT62" s="80">
        <v>110</v>
      </c>
      <c r="BU62" s="80">
        <v>118</v>
      </c>
      <c r="BV62" s="81">
        <v>432</v>
      </c>
      <c r="BW62" s="80">
        <v>193</v>
      </c>
      <c r="BX62" s="80">
        <v>239</v>
      </c>
      <c r="BY62" s="81">
        <v>218</v>
      </c>
      <c r="BZ62" s="85">
        <v>106</v>
      </c>
      <c r="CA62" s="85">
        <v>112</v>
      </c>
      <c r="CB62" s="81">
        <v>495</v>
      </c>
      <c r="CC62" s="80">
        <v>230</v>
      </c>
      <c r="CD62" s="80">
        <v>265</v>
      </c>
      <c r="CE62" s="81">
        <v>422</v>
      </c>
      <c r="CF62" s="80">
        <v>177</v>
      </c>
      <c r="CG62" s="80">
        <v>245</v>
      </c>
      <c r="CH62" s="81">
        <v>573</v>
      </c>
      <c r="CI62" s="80">
        <v>304</v>
      </c>
      <c r="CJ62" s="80">
        <v>269</v>
      </c>
      <c r="CK62" s="81">
        <v>440</v>
      </c>
      <c r="CL62" s="84">
        <v>224</v>
      </c>
      <c r="CM62" s="84">
        <v>216</v>
      </c>
      <c r="CN62" s="81">
        <v>351</v>
      </c>
      <c r="CO62" s="80">
        <v>182</v>
      </c>
      <c r="CP62" s="80">
        <v>169</v>
      </c>
      <c r="CQ62" s="81">
        <v>256</v>
      </c>
      <c r="CR62" s="80">
        <v>122</v>
      </c>
      <c r="CS62" s="80">
        <v>134</v>
      </c>
      <c r="CT62" s="81">
        <v>188</v>
      </c>
      <c r="CU62" s="80">
        <v>85</v>
      </c>
      <c r="CV62" s="80">
        <v>103</v>
      </c>
      <c r="CW62" s="81">
        <v>191</v>
      </c>
      <c r="CX62" s="80">
        <v>94</v>
      </c>
      <c r="CY62" s="80">
        <v>97</v>
      </c>
    </row>
    <row r="63" spans="1:103" ht="18.75" customHeight="1" x14ac:dyDescent="0.15">
      <c r="A63" s="87" t="s">
        <v>116</v>
      </c>
      <c r="B63" s="83">
        <v>7447</v>
      </c>
      <c r="C63" s="83">
        <v>3699</v>
      </c>
      <c r="D63" s="83">
        <v>3748</v>
      </c>
      <c r="E63" s="81">
        <v>2770</v>
      </c>
      <c r="F63" s="81">
        <v>1426</v>
      </c>
      <c r="G63" s="81">
        <v>1344</v>
      </c>
      <c r="H63" s="83">
        <v>218</v>
      </c>
      <c r="I63" s="84">
        <v>108</v>
      </c>
      <c r="J63" s="84">
        <v>110</v>
      </c>
      <c r="K63" s="83">
        <v>229</v>
      </c>
      <c r="L63" s="86">
        <v>115</v>
      </c>
      <c r="M63" s="86">
        <v>114</v>
      </c>
      <c r="N63" s="83">
        <v>182</v>
      </c>
      <c r="O63" s="81">
        <v>86</v>
      </c>
      <c r="P63" s="81">
        <v>96</v>
      </c>
      <c r="Q63" s="83">
        <v>83</v>
      </c>
      <c r="R63" s="82">
        <v>47</v>
      </c>
      <c r="S63" s="82">
        <v>36</v>
      </c>
      <c r="T63" s="83">
        <v>170</v>
      </c>
      <c r="U63" s="80">
        <v>84</v>
      </c>
      <c r="V63" s="80">
        <v>86</v>
      </c>
      <c r="W63" s="83">
        <v>342</v>
      </c>
      <c r="X63" s="84">
        <v>179</v>
      </c>
      <c r="Y63" s="84">
        <v>163</v>
      </c>
      <c r="Z63" s="83">
        <v>185</v>
      </c>
      <c r="AA63" s="84">
        <v>96</v>
      </c>
      <c r="AB63" s="84">
        <v>89</v>
      </c>
      <c r="AC63" s="83">
        <v>77</v>
      </c>
      <c r="AD63" s="81">
        <v>44</v>
      </c>
      <c r="AE63" s="81">
        <v>33</v>
      </c>
      <c r="AF63" s="83">
        <v>169</v>
      </c>
      <c r="AG63" s="80">
        <v>83</v>
      </c>
      <c r="AH63" s="80">
        <v>86</v>
      </c>
      <c r="AI63" s="83">
        <v>217</v>
      </c>
      <c r="AJ63" s="80">
        <v>111</v>
      </c>
      <c r="AK63" s="80">
        <v>106</v>
      </c>
      <c r="AL63" s="83">
        <v>320</v>
      </c>
      <c r="AM63" s="84">
        <v>181</v>
      </c>
      <c r="AN63" s="84">
        <v>139</v>
      </c>
      <c r="AO63" s="83">
        <v>145</v>
      </c>
      <c r="AP63" s="81">
        <v>74</v>
      </c>
      <c r="AQ63" s="81">
        <v>71</v>
      </c>
      <c r="AR63" s="83">
        <v>168</v>
      </c>
      <c r="AS63" s="80">
        <v>91</v>
      </c>
      <c r="AT63" s="80">
        <v>77</v>
      </c>
      <c r="AU63" s="83">
        <v>265</v>
      </c>
      <c r="AV63" s="84">
        <v>127</v>
      </c>
      <c r="AW63" s="84">
        <v>138</v>
      </c>
      <c r="AX63" s="81">
        <v>4677</v>
      </c>
      <c r="AY63" s="81">
        <v>2273</v>
      </c>
      <c r="AZ63" s="81">
        <v>2404</v>
      </c>
      <c r="BA63" s="81">
        <v>337</v>
      </c>
      <c r="BB63" s="84">
        <v>180</v>
      </c>
      <c r="BC63" s="84">
        <v>157</v>
      </c>
      <c r="BD63" s="81">
        <v>168</v>
      </c>
      <c r="BE63" s="80">
        <v>75</v>
      </c>
      <c r="BF63" s="80">
        <v>93</v>
      </c>
      <c r="BG63" s="81">
        <v>207</v>
      </c>
      <c r="BH63" s="81">
        <v>118</v>
      </c>
      <c r="BI63" s="81">
        <v>89</v>
      </c>
      <c r="BJ63" s="81">
        <v>267</v>
      </c>
      <c r="BK63" s="80">
        <v>131</v>
      </c>
      <c r="BL63" s="80">
        <v>136</v>
      </c>
      <c r="BM63" s="81">
        <v>114</v>
      </c>
      <c r="BN63" s="81">
        <v>50</v>
      </c>
      <c r="BO63" s="81">
        <v>64</v>
      </c>
      <c r="BP63" s="81">
        <v>338</v>
      </c>
      <c r="BQ63" s="80">
        <v>180</v>
      </c>
      <c r="BR63" s="80">
        <v>158</v>
      </c>
      <c r="BS63" s="81">
        <v>215</v>
      </c>
      <c r="BT63" s="80">
        <v>113</v>
      </c>
      <c r="BU63" s="80">
        <v>102</v>
      </c>
      <c r="BV63" s="81">
        <v>353</v>
      </c>
      <c r="BW63" s="80">
        <v>157</v>
      </c>
      <c r="BX63" s="80">
        <v>196</v>
      </c>
      <c r="BY63" s="81">
        <v>212</v>
      </c>
      <c r="BZ63" s="85">
        <v>97</v>
      </c>
      <c r="CA63" s="85">
        <v>115</v>
      </c>
      <c r="CB63" s="81">
        <v>451</v>
      </c>
      <c r="CC63" s="80">
        <v>194</v>
      </c>
      <c r="CD63" s="80">
        <v>257</v>
      </c>
      <c r="CE63" s="81">
        <v>360</v>
      </c>
      <c r="CF63" s="80">
        <v>162</v>
      </c>
      <c r="CG63" s="80">
        <v>198</v>
      </c>
      <c r="CH63" s="81">
        <v>406</v>
      </c>
      <c r="CI63" s="80">
        <v>217</v>
      </c>
      <c r="CJ63" s="80">
        <v>189</v>
      </c>
      <c r="CK63" s="81">
        <v>375</v>
      </c>
      <c r="CL63" s="84">
        <v>177</v>
      </c>
      <c r="CM63" s="84">
        <v>198</v>
      </c>
      <c r="CN63" s="81">
        <v>283</v>
      </c>
      <c r="CO63" s="80">
        <v>149</v>
      </c>
      <c r="CP63" s="80">
        <v>134</v>
      </c>
      <c r="CQ63" s="81">
        <v>240</v>
      </c>
      <c r="CR63" s="80">
        <v>106</v>
      </c>
      <c r="CS63" s="80">
        <v>134</v>
      </c>
      <c r="CT63" s="81">
        <v>200</v>
      </c>
      <c r="CU63" s="80">
        <v>100</v>
      </c>
      <c r="CV63" s="80">
        <v>100</v>
      </c>
      <c r="CW63" s="81">
        <v>151</v>
      </c>
      <c r="CX63" s="80">
        <v>67</v>
      </c>
      <c r="CY63" s="80">
        <v>84</v>
      </c>
    </row>
    <row r="64" spans="1:103" ht="18.75" customHeight="1" x14ac:dyDescent="0.15">
      <c r="A64" s="87" t="s">
        <v>115</v>
      </c>
      <c r="B64" s="83">
        <v>8214</v>
      </c>
      <c r="C64" s="83">
        <v>3952</v>
      </c>
      <c r="D64" s="83">
        <v>4262</v>
      </c>
      <c r="E64" s="81">
        <v>3133</v>
      </c>
      <c r="F64" s="81">
        <v>1569</v>
      </c>
      <c r="G64" s="81">
        <v>1564</v>
      </c>
      <c r="H64" s="83">
        <v>233</v>
      </c>
      <c r="I64" s="84">
        <v>101</v>
      </c>
      <c r="J64" s="84">
        <v>132</v>
      </c>
      <c r="K64" s="83">
        <v>280</v>
      </c>
      <c r="L64" s="86">
        <v>133</v>
      </c>
      <c r="M64" s="86">
        <v>147</v>
      </c>
      <c r="N64" s="83">
        <v>190</v>
      </c>
      <c r="O64" s="81">
        <v>104</v>
      </c>
      <c r="P64" s="81">
        <v>86</v>
      </c>
      <c r="Q64" s="83">
        <v>80</v>
      </c>
      <c r="R64" s="82">
        <v>38</v>
      </c>
      <c r="S64" s="82">
        <v>42</v>
      </c>
      <c r="T64" s="83">
        <v>196</v>
      </c>
      <c r="U64" s="80">
        <v>102</v>
      </c>
      <c r="V64" s="80">
        <v>94</v>
      </c>
      <c r="W64" s="83">
        <v>320</v>
      </c>
      <c r="X64" s="84">
        <v>168</v>
      </c>
      <c r="Y64" s="84">
        <v>152</v>
      </c>
      <c r="Z64" s="83">
        <v>225</v>
      </c>
      <c r="AA64" s="84">
        <v>115</v>
      </c>
      <c r="AB64" s="84">
        <v>110</v>
      </c>
      <c r="AC64" s="83">
        <v>109</v>
      </c>
      <c r="AD64" s="81">
        <v>56</v>
      </c>
      <c r="AE64" s="81">
        <v>53</v>
      </c>
      <c r="AF64" s="83">
        <v>193</v>
      </c>
      <c r="AG64" s="80">
        <v>108</v>
      </c>
      <c r="AH64" s="80">
        <v>85</v>
      </c>
      <c r="AI64" s="83">
        <v>242</v>
      </c>
      <c r="AJ64" s="80">
        <v>100</v>
      </c>
      <c r="AK64" s="80">
        <v>142</v>
      </c>
      <c r="AL64" s="83">
        <v>399</v>
      </c>
      <c r="AM64" s="84">
        <v>193</v>
      </c>
      <c r="AN64" s="84">
        <v>206</v>
      </c>
      <c r="AO64" s="83">
        <v>158</v>
      </c>
      <c r="AP64" s="81">
        <v>86</v>
      </c>
      <c r="AQ64" s="81">
        <v>72</v>
      </c>
      <c r="AR64" s="83">
        <v>187</v>
      </c>
      <c r="AS64" s="80">
        <v>105</v>
      </c>
      <c r="AT64" s="80">
        <v>82</v>
      </c>
      <c r="AU64" s="83">
        <v>321</v>
      </c>
      <c r="AV64" s="84">
        <v>160</v>
      </c>
      <c r="AW64" s="84">
        <v>161</v>
      </c>
      <c r="AX64" s="81">
        <v>5081</v>
      </c>
      <c r="AY64" s="81">
        <v>2383</v>
      </c>
      <c r="AZ64" s="81">
        <v>2698</v>
      </c>
      <c r="BA64" s="81">
        <v>416</v>
      </c>
      <c r="BB64" s="84">
        <v>180</v>
      </c>
      <c r="BC64" s="84">
        <v>236</v>
      </c>
      <c r="BD64" s="81">
        <v>188</v>
      </c>
      <c r="BE64" s="80">
        <v>100</v>
      </c>
      <c r="BF64" s="80">
        <v>88</v>
      </c>
      <c r="BG64" s="81">
        <v>209</v>
      </c>
      <c r="BH64" s="81">
        <v>96</v>
      </c>
      <c r="BI64" s="81">
        <v>113</v>
      </c>
      <c r="BJ64" s="81">
        <v>283</v>
      </c>
      <c r="BK64" s="80">
        <v>121</v>
      </c>
      <c r="BL64" s="80">
        <v>162</v>
      </c>
      <c r="BM64" s="81">
        <v>111</v>
      </c>
      <c r="BN64" s="81">
        <v>48</v>
      </c>
      <c r="BO64" s="81">
        <v>63</v>
      </c>
      <c r="BP64" s="81">
        <v>387</v>
      </c>
      <c r="BQ64" s="80">
        <v>179</v>
      </c>
      <c r="BR64" s="80">
        <v>208</v>
      </c>
      <c r="BS64" s="81">
        <v>228</v>
      </c>
      <c r="BT64" s="80">
        <v>118</v>
      </c>
      <c r="BU64" s="80">
        <v>110</v>
      </c>
      <c r="BV64" s="81">
        <v>407</v>
      </c>
      <c r="BW64" s="80">
        <v>187</v>
      </c>
      <c r="BX64" s="80">
        <v>220</v>
      </c>
      <c r="BY64" s="81">
        <v>210</v>
      </c>
      <c r="BZ64" s="85">
        <v>101</v>
      </c>
      <c r="CA64" s="85">
        <v>109</v>
      </c>
      <c r="CB64" s="81">
        <v>418</v>
      </c>
      <c r="CC64" s="80">
        <v>201</v>
      </c>
      <c r="CD64" s="80">
        <v>217</v>
      </c>
      <c r="CE64" s="81">
        <v>402</v>
      </c>
      <c r="CF64" s="80">
        <v>193</v>
      </c>
      <c r="CG64" s="80">
        <v>209</v>
      </c>
      <c r="CH64" s="81">
        <v>409</v>
      </c>
      <c r="CI64" s="80">
        <v>218</v>
      </c>
      <c r="CJ64" s="80">
        <v>191</v>
      </c>
      <c r="CK64" s="81">
        <v>436</v>
      </c>
      <c r="CL64" s="84">
        <v>215</v>
      </c>
      <c r="CM64" s="84">
        <v>221</v>
      </c>
      <c r="CN64" s="81">
        <v>306</v>
      </c>
      <c r="CO64" s="80">
        <v>140</v>
      </c>
      <c r="CP64" s="80">
        <v>166</v>
      </c>
      <c r="CQ64" s="81">
        <v>258</v>
      </c>
      <c r="CR64" s="80">
        <v>106</v>
      </c>
      <c r="CS64" s="80">
        <v>152</v>
      </c>
      <c r="CT64" s="81">
        <v>225</v>
      </c>
      <c r="CU64" s="80">
        <v>105</v>
      </c>
      <c r="CV64" s="80">
        <v>120</v>
      </c>
      <c r="CW64" s="81">
        <v>188</v>
      </c>
      <c r="CX64" s="80">
        <v>75</v>
      </c>
      <c r="CY64" s="80">
        <v>113</v>
      </c>
    </row>
    <row r="65" spans="1:103" ht="18.75" customHeight="1" x14ac:dyDescent="0.15">
      <c r="A65" s="87" t="s">
        <v>114</v>
      </c>
      <c r="B65" s="83">
        <v>8083</v>
      </c>
      <c r="C65" s="83">
        <v>3961</v>
      </c>
      <c r="D65" s="83">
        <v>4122</v>
      </c>
      <c r="E65" s="81">
        <v>3136</v>
      </c>
      <c r="F65" s="81">
        <v>1609</v>
      </c>
      <c r="G65" s="81">
        <v>1527</v>
      </c>
      <c r="H65" s="83">
        <v>247</v>
      </c>
      <c r="I65" s="84">
        <v>132</v>
      </c>
      <c r="J65" s="84">
        <v>115</v>
      </c>
      <c r="K65" s="83">
        <v>292</v>
      </c>
      <c r="L65" s="86">
        <v>149</v>
      </c>
      <c r="M65" s="86">
        <v>143</v>
      </c>
      <c r="N65" s="83">
        <v>211</v>
      </c>
      <c r="O65" s="81">
        <v>118</v>
      </c>
      <c r="P65" s="81">
        <v>93</v>
      </c>
      <c r="Q65" s="83">
        <v>79</v>
      </c>
      <c r="R65" s="82">
        <v>50</v>
      </c>
      <c r="S65" s="82">
        <v>29</v>
      </c>
      <c r="T65" s="83">
        <v>182</v>
      </c>
      <c r="U65" s="80">
        <v>93</v>
      </c>
      <c r="V65" s="80">
        <v>89</v>
      </c>
      <c r="W65" s="83">
        <v>324</v>
      </c>
      <c r="X65" s="84">
        <v>161</v>
      </c>
      <c r="Y65" s="84">
        <v>163</v>
      </c>
      <c r="Z65" s="83">
        <v>215</v>
      </c>
      <c r="AA65" s="84">
        <v>107</v>
      </c>
      <c r="AB65" s="84">
        <v>108</v>
      </c>
      <c r="AC65" s="83">
        <v>103</v>
      </c>
      <c r="AD65" s="81">
        <v>53</v>
      </c>
      <c r="AE65" s="81">
        <v>50</v>
      </c>
      <c r="AF65" s="83">
        <v>208</v>
      </c>
      <c r="AG65" s="80">
        <v>115</v>
      </c>
      <c r="AH65" s="80">
        <v>93</v>
      </c>
      <c r="AI65" s="83">
        <v>238</v>
      </c>
      <c r="AJ65" s="80">
        <v>123</v>
      </c>
      <c r="AK65" s="80">
        <v>115</v>
      </c>
      <c r="AL65" s="83">
        <v>401</v>
      </c>
      <c r="AM65" s="84">
        <v>201</v>
      </c>
      <c r="AN65" s="84">
        <v>200</v>
      </c>
      <c r="AO65" s="83">
        <v>169</v>
      </c>
      <c r="AP65" s="81">
        <v>78</v>
      </c>
      <c r="AQ65" s="81">
        <v>91</v>
      </c>
      <c r="AR65" s="83">
        <v>171</v>
      </c>
      <c r="AS65" s="80">
        <v>72</v>
      </c>
      <c r="AT65" s="80">
        <v>99</v>
      </c>
      <c r="AU65" s="83">
        <v>296</v>
      </c>
      <c r="AV65" s="84">
        <v>157</v>
      </c>
      <c r="AW65" s="84">
        <v>139</v>
      </c>
      <c r="AX65" s="81">
        <v>4947</v>
      </c>
      <c r="AY65" s="81">
        <v>2352</v>
      </c>
      <c r="AZ65" s="81">
        <v>2595</v>
      </c>
      <c r="BA65" s="81">
        <v>390</v>
      </c>
      <c r="BB65" s="84">
        <v>184</v>
      </c>
      <c r="BC65" s="84">
        <v>206</v>
      </c>
      <c r="BD65" s="81">
        <v>177</v>
      </c>
      <c r="BE65" s="80">
        <v>83</v>
      </c>
      <c r="BF65" s="80">
        <v>94</v>
      </c>
      <c r="BG65" s="81">
        <v>216</v>
      </c>
      <c r="BH65" s="81">
        <v>119</v>
      </c>
      <c r="BI65" s="81">
        <v>97</v>
      </c>
      <c r="BJ65" s="81">
        <v>260</v>
      </c>
      <c r="BK65" s="80">
        <v>112</v>
      </c>
      <c r="BL65" s="80">
        <v>148</v>
      </c>
      <c r="BM65" s="81">
        <v>131</v>
      </c>
      <c r="BN65" s="81">
        <v>46</v>
      </c>
      <c r="BO65" s="81">
        <v>85</v>
      </c>
      <c r="BP65" s="81">
        <v>359</v>
      </c>
      <c r="BQ65" s="80">
        <v>152</v>
      </c>
      <c r="BR65" s="80">
        <v>207</v>
      </c>
      <c r="BS65" s="81">
        <v>216</v>
      </c>
      <c r="BT65" s="80">
        <v>101</v>
      </c>
      <c r="BU65" s="80">
        <v>115</v>
      </c>
      <c r="BV65" s="81">
        <v>389</v>
      </c>
      <c r="BW65" s="80">
        <v>177</v>
      </c>
      <c r="BX65" s="80">
        <v>212</v>
      </c>
      <c r="BY65" s="81">
        <v>206</v>
      </c>
      <c r="BZ65" s="85">
        <v>99</v>
      </c>
      <c r="CA65" s="85">
        <v>107</v>
      </c>
      <c r="CB65" s="81">
        <v>444</v>
      </c>
      <c r="CC65" s="80">
        <v>212</v>
      </c>
      <c r="CD65" s="80">
        <v>232</v>
      </c>
      <c r="CE65" s="81">
        <v>412</v>
      </c>
      <c r="CF65" s="80">
        <v>207</v>
      </c>
      <c r="CG65" s="80">
        <v>205</v>
      </c>
      <c r="CH65" s="81">
        <v>385</v>
      </c>
      <c r="CI65" s="80">
        <v>179</v>
      </c>
      <c r="CJ65" s="80">
        <v>206</v>
      </c>
      <c r="CK65" s="81">
        <v>385</v>
      </c>
      <c r="CL65" s="84">
        <v>192</v>
      </c>
      <c r="CM65" s="84">
        <v>193</v>
      </c>
      <c r="CN65" s="81">
        <v>304</v>
      </c>
      <c r="CO65" s="80">
        <v>156</v>
      </c>
      <c r="CP65" s="80">
        <v>148</v>
      </c>
      <c r="CQ65" s="81">
        <v>288</v>
      </c>
      <c r="CR65" s="80">
        <v>138</v>
      </c>
      <c r="CS65" s="80">
        <v>150</v>
      </c>
      <c r="CT65" s="81">
        <v>195</v>
      </c>
      <c r="CU65" s="80">
        <v>98</v>
      </c>
      <c r="CV65" s="80">
        <v>97</v>
      </c>
      <c r="CW65" s="81">
        <v>190</v>
      </c>
      <c r="CX65" s="80">
        <v>97</v>
      </c>
      <c r="CY65" s="80">
        <v>93</v>
      </c>
    </row>
    <row r="66" spans="1:103" ht="18.75" customHeight="1" x14ac:dyDescent="0.15">
      <c r="A66" s="57" t="s">
        <v>190</v>
      </c>
      <c r="B66" s="78">
        <v>46590</v>
      </c>
      <c r="C66" s="78">
        <v>22713</v>
      </c>
      <c r="D66" s="78">
        <v>23877</v>
      </c>
      <c r="E66" s="78">
        <v>18495</v>
      </c>
      <c r="F66" s="78">
        <v>9202</v>
      </c>
      <c r="G66" s="78">
        <v>9293</v>
      </c>
      <c r="H66" s="78">
        <v>1484</v>
      </c>
      <c r="I66" s="78">
        <v>713</v>
      </c>
      <c r="J66" s="78">
        <v>771</v>
      </c>
      <c r="K66" s="78">
        <v>1658</v>
      </c>
      <c r="L66" s="78">
        <v>842</v>
      </c>
      <c r="M66" s="78">
        <v>816</v>
      </c>
      <c r="N66" s="78">
        <v>1178</v>
      </c>
      <c r="O66" s="78">
        <v>584</v>
      </c>
      <c r="P66" s="78">
        <v>594</v>
      </c>
      <c r="Q66" s="78">
        <v>485</v>
      </c>
      <c r="R66" s="78">
        <v>257</v>
      </c>
      <c r="S66" s="78">
        <v>228</v>
      </c>
      <c r="T66" s="78">
        <v>1093</v>
      </c>
      <c r="U66" s="78">
        <v>559</v>
      </c>
      <c r="V66" s="78">
        <v>534</v>
      </c>
      <c r="W66" s="78">
        <v>1926</v>
      </c>
      <c r="X66" s="78">
        <v>959</v>
      </c>
      <c r="Y66" s="78">
        <v>967</v>
      </c>
      <c r="Z66" s="78">
        <v>1109</v>
      </c>
      <c r="AA66" s="78">
        <v>532</v>
      </c>
      <c r="AB66" s="78">
        <v>577</v>
      </c>
      <c r="AC66" s="78">
        <v>610</v>
      </c>
      <c r="AD66" s="78">
        <v>321</v>
      </c>
      <c r="AE66" s="78">
        <v>289</v>
      </c>
      <c r="AF66" s="78">
        <v>1166</v>
      </c>
      <c r="AG66" s="78">
        <v>562</v>
      </c>
      <c r="AH66" s="78">
        <v>604</v>
      </c>
      <c r="AI66" s="78">
        <v>1572</v>
      </c>
      <c r="AJ66" s="78">
        <v>733</v>
      </c>
      <c r="AK66" s="78">
        <v>839</v>
      </c>
      <c r="AL66" s="78">
        <v>2401</v>
      </c>
      <c r="AM66" s="78">
        <v>1191</v>
      </c>
      <c r="AN66" s="78">
        <v>1210</v>
      </c>
      <c r="AO66" s="78">
        <v>1007</v>
      </c>
      <c r="AP66" s="78">
        <v>519</v>
      </c>
      <c r="AQ66" s="78">
        <v>488</v>
      </c>
      <c r="AR66" s="78">
        <v>1190</v>
      </c>
      <c r="AS66" s="78">
        <v>621</v>
      </c>
      <c r="AT66" s="78">
        <v>569</v>
      </c>
      <c r="AU66" s="78">
        <v>1616</v>
      </c>
      <c r="AV66" s="78">
        <v>809</v>
      </c>
      <c r="AW66" s="78">
        <v>807</v>
      </c>
      <c r="AX66" s="78">
        <v>28095</v>
      </c>
      <c r="AY66" s="78">
        <v>13511</v>
      </c>
      <c r="AZ66" s="78">
        <v>14584</v>
      </c>
      <c r="BA66" s="78">
        <v>2290</v>
      </c>
      <c r="BB66" s="78">
        <v>1050</v>
      </c>
      <c r="BC66" s="78">
        <v>1240</v>
      </c>
      <c r="BD66" s="78">
        <v>1098</v>
      </c>
      <c r="BE66" s="78">
        <v>517</v>
      </c>
      <c r="BF66" s="78">
        <v>581</v>
      </c>
      <c r="BG66" s="78">
        <v>1424</v>
      </c>
      <c r="BH66" s="78">
        <v>666</v>
      </c>
      <c r="BI66" s="78">
        <v>758</v>
      </c>
      <c r="BJ66" s="78">
        <v>1460</v>
      </c>
      <c r="BK66" s="78">
        <v>708</v>
      </c>
      <c r="BL66" s="78">
        <v>752</v>
      </c>
      <c r="BM66" s="78">
        <v>728</v>
      </c>
      <c r="BN66" s="78">
        <v>337</v>
      </c>
      <c r="BO66" s="78">
        <v>391</v>
      </c>
      <c r="BP66" s="78">
        <v>2523</v>
      </c>
      <c r="BQ66" s="78">
        <v>1134</v>
      </c>
      <c r="BR66" s="78">
        <v>1389</v>
      </c>
      <c r="BS66" s="78">
        <v>1523</v>
      </c>
      <c r="BT66" s="78">
        <v>756</v>
      </c>
      <c r="BU66" s="78">
        <v>767</v>
      </c>
      <c r="BV66" s="78">
        <v>2346</v>
      </c>
      <c r="BW66" s="78">
        <v>1111</v>
      </c>
      <c r="BX66" s="78">
        <v>1235</v>
      </c>
      <c r="BY66" s="78">
        <v>1255</v>
      </c>
      <c r="BZ66" s="78">
        <v>571</v>
      </c>
      <c r="CA66" s="78">
        <v>684</v>
      </c>
      <c r="CB66" s="78">
        <v>2101</v>
      </c>
      <c r="CC66" s="78">
        <v>1075</v>
      </c>
      <c r="CD66" s="78">
        <v>1026</v>
      </c>
      <c r="CE66" s="78">
        <v>1739</v>
      </c>
      <c r="CF66" s="78">
        <v>917</v>
      </c>
      <c r="CG66" s="78">
        <v>822</v>
      </c>
      <c r="CH66" s="78">
        <v>2011</v>
      </c>
      <c r="CI66" s="78">
        <v>1014</v>
      </c>
      <c r="CJ66" s="78">
        <v>997</v>
      </c>
      <c r="CK66" s="78">
        <v>2235</v>
      </c>
      <c r="CL66" s="78">
        <v>1044</v>
      </c>
      <c r="CM66" s="78">
        <v>1191</v>
      </c>
      <c r="CN66" s="78">
        <v>1846</v>
      </c>
      <c r="CO66" s="78">
        <v>882</v>
      </c>
      <c r="CP66" s="78">
        <v>964</v>
      </c>
      <c r="CQ66" s="78">
        <v>1450</v>
      </c>
      <c r="CR66" s="78">
        <v>708</v>
      </c>
      <c r="CS66" s="78">
        <v>742</v>
      </c>
      <c r="CT66" s="78">
        <v>1117</v>
      </c>
      <c r="CU66" s="78">
        <v>522</v>
      </c>
      <c r="CV66" s="78">
        <v>595</v>
      </c>
      <c r="CW66" s="78">
        <v>949</v>
      </c>
      <c r="CX66" s="78">
        <v>499</v>
      </c>
      <c r="CY66" s="78">
        <v>450</v>
      </c>
    </row>
    <row r="67" spans="1:103" ht="18.75" customHeight="1" x14ac:dyDescent="0.15">
      <c r="A67" s="87" t="s">
        <v>112</v>
      </c>
      <c r="B67" s="83">
        <v>8343</v>
      </c>
      <c r="C67" s="83">
        <v>4062</v>
      </c>
      <c r="D67" s="83">
        <v>4281</v>
      </c>
      <c r="E67" s="81">
        <v>3157</v>
      </c>
      <c r="F67" s="81">
        <v>1578</v>
      </c>
      <c r="G67" s="81">
        <v>1579</v>
      </c>
      <c r="H67" s="83">
        <v>236</v>
      </c>
      <c r="I67" s="84">
        <v>115</v>
      </c>
      <c r="J67" s="84">
        <v>121</v>
      </c>
      <c r="K67" s="83">
        <v>271</v>
      </c>
      <c r="L67" s="86">
        <v>146</v>
      </c>
      <c r="M67" s="86">
        <v>125</v>
      </c>
      <c r="N67" s="83">
        <v>202</v>
      </c>
      <c r="O67" s="81">
        <v>102</v>
      </c>
      <c r="P67" s="81">
        <v>100</v>
      </c>
      <c r="Q67" s="83">
        <v>92</v>
      </c>
      <c r="R67" s="82">
        <v>46</v>
      </c>
      <c r="S67" s="82">
        <v>46</v>
      </c>
      <c r="T67" s="83">
        <v>193</v>
      </c>
      <c r="U67" s="80">
        <v>90</v>
      </c>
      <c r="V67" s="80">
        <v>103</v>
      </c>
      <c r="W67" s="83">
        <v>336</v>
      </c>
      <c r="X67" s="84">
        <v>178</v>
      </c>
      <c r="Y67" s="84">
        <v>158</v>
      </c>
      <c r="Z67" s="83">
        <v>204</v>
      </c>
      <c r="AA67" s="84">
        <v>95</v>
      </c>
      <c r="AB67" s="84">
        <v>109</v>
      </c>
      <c r="AC67" s="83">
        <v>93</v>
      </c>
      <c r="AD67" s="81">
        <v>50</v>
      </c>
      <c r="AE67" s="81">
        <v>43</v>
      </c>
      <c r="AF67" s="83">
        <v>173</v>
      </c>
      <c r="AG67" s="80">
        <v>87</v>
      </c>
      <c r="AH67" s="80">
        <v>86</v>
      </c>
      <c r="AI67" s="83">
        <v>265</v>
      </c>
      <c r="AJ67" s="80">
        <v>112</v>
      </c>
      <c r="AK67" s="80">
        <v>153</v>
      </c>
      <c r="AL67" s="83">
        <v>405</v>
      </c>
      <c r="AM67" s="84">
        <v>190</v>
      </c>
      <c r="AN67" s="84">
        <v>215</v>
      </c>
      <c r="AO67" s="83">
        <v>186</v>
      </c>
      <c r="AP67" s="81">
        <v>99</v>
      </c>
      <c r="AQ67" s="81">
        <v>87</v>
      </c>
      <c r="AR67" s="83">
        <v>229</v>
      </c>
      <c r="AS67" s="80">
        <v>127</v>
      </c>
      <c r="AT67" s="80">
        <v>102</v>
      </c>
      <c r="AU67" s="83">
        <v>272</v>
      </c>
      <c r="AV67" s="84">
        <v>141</v>
      </c>
      <c r="AW67" s="84">
        <v>131</v>
      </c>
      <c r="AX67" s="81">
        <v>5186</v>
      </c>
      <c r="AY67" s="81">
        <v>2484</v>
      </c>
      <c r="AZ67" s="81">
        <v>2702</v>
      </c>
      <c r="BA67" s="81">
        <v>381</v>
      </c>
      <c r="BB67" s="84">
        <v>178</v>
      </c>
      <c r="BC67" s="84">
        <v>203</v>
      </c>
      <c r="BD67" s="81">
        <v>201</v>
      </c>
      <c r="BE67" s="80">
        <v>87</v>
      </c>
      <c r="BF67" s="80">
        <v>114</v>
      </c>
      <c r="BG67" s="81">
        <v>251</v>
      </c>
      <c r="BH67" s="81">
        <v>114</v>
      </c>
      <c r="BI67" s="81">
        <v>137</v>
      </c>
      <c r="BJ67" s="81">
        <v>280</v>
      </c>
      <c r="BK67" s="80">
        <v>136</v>
      </c>
      <c r="BL67" s="80">
        <v>144</v>
      </c>
      <c r="BM67" s="81">
        <v>147</v>
      </c>
      <c r="BN67" s="81">
        <v>63</v>
      </c>
      <c r="BO67" s="81">
        <v>84</v>
      </c>
      <c r="BP67" s="81">
        <v>385</v>
      </c>
      <c r="BQ67" s="80">
        <v>164</v>
      </c>
      <c r="BR67" s="80">
        <v>221</v>
      </c>
      <c r="BS67" s="81">
        <v>253</v>
      </c>
      <c r="BT67" s="80">
        <v>140</v>
      </c>
      <c r="BU67" s="80">
        <v>113</v>
      </c>
      <c r="BV67" s="81">
        <v>421</v>
      </c>
      <c r="BW67" s="80">
        <v>200</v>
      </c>
      <c r="BX67" s="80">
        <v>221</v>
      </c>
      <c r="BY67" s="81">
        <v>233</v>
      </c>
      <c r="BZ67" s="85">
        <v>92</v>
      </c>
      <c r="CA67" s="85">
        <v>141</v>
      </c>
      <c r="CB67" s="81">
        <v>425</v>
      </c>
      <c r="CC67" s="80">
        <v>214</v>
      </c>
      <c r="CD67" s="80">
        <v>211</v>
      </c>
      <c r="CE67" s="81">
        <v>395</v>
      </c>
      <c r="CF67" s="80">
        <v>205</v>
      </c>
      <c r="CG67" s="80">
        <v>190</v>
      </c>
      <c r="CH67" s="81">
        <v>399</v>
      </c>
      <c r="CI67" s="80">
        <v>205</v>
      </c>
      <c r="CJ67" s="80">
        <v>194</v>
      </c>
      <c r="CK67" s="81">
        <v>436</v>
      </c>
      <c r="CL67" s="84">
        <v>206</v>
      </c>
      <c r="CM67" s="84">
        <v>230</v>
      </c>
      <c r="CN67" s="81">
        <v>329</v>
      </c>
      <c r="CO67" s="80">
        <v>159</v>
      </c>
      <c r="CP67" s="80">
        <v>170</v>
      </c>
      <c r="CQ67" s="81">
        <v>265</v>
      </c>
      <c r="CR67" s="80">
        <v>135</v>
      </c>
      <c r="CS67" s="80">
        <v>130</v>
      </c>
      <c r="CT67" s="81">
        <v>189</v>
      </c>
      <c r="CU67" s="80">
        <v>87</v>
      </c>
      <c r="CV67" s="80">
        <v>102</v>
      </c>
      <c r="CW67" s="81">
        <v>196</v>
      </c>
      <c r="CX67" s="80">
        <v>99</v>
      </c>
      <c r="CY67" s="80">
        <v>97</v>
      </c>
    </row>
    <row r="68" spans="1:103" ht="18.75" customHeight="1" x14ac:dyDescent="0.15">
      <c r="A68" s="87" t="s">
        <v>111</v>
      </c>
      <c r="B68" s="83">
        <v>9097</v>
      </c>
      <c r="C68" s="83">
        <v>4483</v>
      </c>
      <c r="D68" s="83">
        <v>4614</v>
      </c>
      <c r="E68" s="81">
        <v>3482</v>
      </c>
      <c r="F68" s="81">
        <v>1741</v>
      </c>
      <c r="G68" s="81">
        <v>1741</v>
      </c>
      <c r="H68" s="83">
        <v>260</v>
      </c>
      <c r="I68" s="84">
        <v>111</v>
      </c>
      <c r="J68" s="84">
        <v>149</v>
      </c>
      <c r="K68" s="83">
        <v>303</v>
      </c>
      <c r="L68" s="86">
        <v>149</v>
      </c>
      <c r="M68" s="86">
        <v>154</v>
      </c>
      <c r="N68" s="83">
        <v>229</v>
      </c>
      <c r="O68" s="81">
        <v>106</v>
      </c>
      <c r="P68" s="81">
        <v>123</v>
      </c>
      <c r="Q68" s="83">
        <v>92</v>
      </c>
      <c r="R68" s="82">
        <v>49</v>
      </c>
      <c r="S68" s="82">
        <v>43</v>
      </c>
      <c r="T68" s="83">
        <v>198</v>
      </c>
      <c r="U68" s="80">
        <v>108</v>
      </c>
      <c r="V68" s="80">
        <v>90</v>
      </c>
      <c r="W68" s="83">
        <v>367</v>
      </c>
      <c r="X68" s="84">
        <v>202</v>
      </c>
      <c r="Y68" s="84">
        <v>165</v>
      </c>
      <c r="Z68" s="83">
        <v>219</v>
      </c>
      <c r="AA68" s="84">
        <v>114</v>
      </c>
      <c r="AB68" s="84">
        <v>105</v>
      </c>
      <c r="AC68" s="83">
        <v>127</v>
      </c>
      <c r="AD68" s="81">
        <v>73</v>
      </c>
      <c r="AE68" s="81">
        <v>54</v>
      </c>
      <c r="AF68" s="83">
        <v>230</v>
      </c>
      <c r="AG68" s="80">
        <v>116</v>
      </c>
      <c r="AH68" s="80">
        <v>114</v>
      </c>
      <c r="AI68" s="83">
        <v>267</v>
      </c>
      <c r="AJ68" s="80">
        <v>126</v>
      </c>
      <c r="AK68" s="80">
        <v>141</v>
      </c>
      <c r="AL68" s="83">
        <v>449</v>
      </c>
      <c r="AM68" s="84">
        <v>225</v>
      </c>
      <c r="AN68" s="84">
        <v>224</v>
      </c>
      <c r="AO68" s="83">
        <v>183</v>
      </c>
      <c r="AP68" s="81">
        <v>80</v>
      </c>
      <c r="AQ68" s="81">
        <v>103</v>
      </c>
      <c r="AR68" s="83">
        <v>217</v>
      </c>
      <c r="AS68" s="80">
        <v>111</v>
      </c>
      <c r="AT68" s="80">
        <v>106</v>
      </c>
      <c r="AU68" s="83">
        <v>341</v>
      </c>
      <c r="AV68" s="84">
        <v>171</v>
      </c>
      <c r="AW68" s="84">
        <v>170</v>
      </c>
      <c r="AX68" s="81">
        <v>5615</v>
      </c>
      <c r="AY68" s="81">
        <v>2742</v>
      </c>
      <c r="AZ68" s="81">
        <v>2873</v>
      </c>
      <c r="BA68" s="81">
        <v>436</v>
      </c>
      <c r="BB68" s="84">
        <v>204</v>
      </c>
      <c r="BC68" s="84">
        <v>232</v>
      </c>
      <c r="BD68" s="81">
        <v>203</v>
      </c>
      <c r="BE68" s="80">
        <v>97</v>
      </c>
      <c r="BF68" s="80">
        <v>106</v>
      </c>
      <c r="BG68" s="81">
        <v>268</v>
      </c>
      <c r="BH68" s="81">
        <v>122</v>
      </c>
      <c r="BI68" s="81">
        <v>146</v>
      </c>
      <c r="BJ68" s="81">
        <v>302</v>
      </c>
      <c r="BK68" s="80">
        <v>159</v>
      </c>
      <c r="BL68" s="80">
        <v>143</v>
      </c>
      <c r="BM68" s="81">
        <v>131</v>
      </c>
      <c r="BN68" s="81">
        <v>62</v>
      </c>
      <c r="BO68" s="81">
        <v>69</v>
      </c>
      <c r="BP68" s="81">
        <v>499</v>
      </c>
      <c r="BQ68" s="80">
        <v>221</v>
      </c>
      <c r="BR68" s="80">
        <v>278</v>
      </c>
      <c r="BS68" s="81">
        <v>288</v>
      </c>
      <c r="BT68" s="80">
        <v>151</v>
      </c>
      <c r="BU68" s="80">
        <v>137</v>
      </c>
      <c r="BV68" s="81">
        <v>487</v>
      </c>
      <c r="BW68" s="80">
        <v>240</v>
      </c>
      <c r="BX68" s="80">
        <v>247</v>
      </c>
      <c r="BY68" s="81">
        <v>253</v>
      </c>
      <c r="BZ68" s="85">
        <v>114</v>
      </c>
      <c r="CA68" s="85">
        <v>139</v>
      </c>
      <c r="CB68" s="81">
        <v>447</v>
      </c>
      <c r="CC68" s="80">
        <v>221</v>
      </c>
      <c r="CD68" s="80">
        <v>226</v>
      </c>
      <c r="CE68" s="81">
        <v>377</v>
      </c>
      <c r="CF68" s="80">
        <v>203</v>
      </c>
      <c r="CG68" s="80">
        <v>174</v>
      </c>
      <c r="CH68" s="81">
        <v>419</v>
      </c>
      <c r="CI68" s="80">
        <v>222</v>
      </c>
      <c r="CJ68" s="80">
        <v>197</v>
      </c>
      <c r="CK68" s="81">
        <v>428</v>
      </c>
      <c r="CL68" s="84">
        <v>193</v>
      </c>
      <c r="CM68" s="84">
        <v>235</v>
      </c>
      <c r="CN68" s="81">
        <v>374</v>
      </c>
      <c r="CO68" s="80">
        <v>173</v>
      </c>
      <c r="CP68" s="80">
        <v>201</v>
      </c>
      <c r="CQ68" s="81">
        <v>293</v>
      </c>
      <c r="CR68" s="80">
        <v>151</v>
      </c>
      <c r="CS68" s="80">
        <v>142</v>
      </c>
      <c r="CT68" s="81">
        <v>232</v>
      </c>
      <c r="CU68" s="80">
        <v>110</v>
      </c>
      <c r="CV68" s="80">
        <v>122</v>
      </c>
      <c r="CW68" s="81">
        <v>178</v>
      </c>
      <c r="CX68" s="80">
        <v>99</v>
      </c>
      <c r="CY68" s="80">
        <v>79</v>
      </c>
    </row>
    <row r="69" spans="1:103" ht="18.75" customHeight="1" x14ac:dyDescent="0.15">
      <c r="A69" s="87" t="s">
        <v>110</v>
      </c>
      <c r="B69" s="83">
        <v>9490</v>
      </c>
      <c r="C69" s="83">
        <v>4531</v>
      </c>
      <c r="D69" s="83">
        <v>4959</v>
      </c>
      <c r="E69" s="81">
        <v>3760</v>
      </c>
      <c r="F69" s="81">
        <v>1860</v>
      </c>
      <c r="G69" s="81">
        <v>1900</v>
      </c>
      <c r="H69" s="83">
        <v>298</v>
      </c>
      <c r="I69" s="84">
        <v>144</v>
      </c>
      <c r="J69" s="84">
        <v>154</v>
      </c>
      <c r="K69" s="83">
        <v>341</v>
      </c>
      <c r="L69" s="86">
        <v>177</v>
      </c>
      <c r="M69" s="86">
        <v>164</v>
      </c>
      <c r="N69" s="83">
        <v>248</v>
      </c>
      <c r="O69" s="81">
        <v>121</v>
      </c>
      <c r="P69" s="81">
        <v>127</v>
      </c>
      <c r="Q69" s="83">
        <v>97</v>
      </c>
      <c r="R69" s="82">
        <v>61</v>
      </c>
      <c r="S69" s="82">
        <v>36</v>
      </c>
      <c r="T69" s="83">
        <v>236</v>
      </c>
      <c r="U69" s="80">
        <v>116</v>
      </c>
      <c r="V69" s="80">
        <v>120</v>
      </c>
      <c r="W69" s="83">
        <v>381</v>
      </c>
      <c r="X69" s="84">
        <v>174</v>
      </c>
      <c r="Y69" s="84">
        <v>207</v>
      </c>
      <c r="Z69" s="83">
        <v>222</v>
      </c>
      <c r="AA69" s="84">
        <v>109</v>
      </c>
      <c r="AB69" s="84">
        <v>113</v>
      </c>
      <c r="AC69" s="83">
        <v>116</v>
      </c>
      <c r="AD69" s="81">
        <v>56</v>
      </c>
      <c r="AE69" s="81">
        <v>60</v>
      </c>
      <c r="AF69" s="83">
        <v>237</v>
      </c>
      <c r="AG69" s="80">
        <v>115</v>
      </c>
      <c r="AH69" s="80">
        <v>122</v>
      </c>
      <c r="AI69" s="83">
        <v>349</v>
      </c>
      <c r="AJ69" s="80">
        <v>171</v>
      </c>
      <c r="AK69" s="80">
        <v>178</v>
      </c>
      <c r="AL69" s="83">
        <v>473</v>
      </c>
      <c r="AM69" s="84">
        <v>234</v>
      </c>
      <c r="AN69" s="84">
        <v>239</v>
      </c>
      <c r="AO69" s="83">
        <v>194</v>
      </c>
      <c r="AP69" s="81">
        <v>105</v>
      </c>
      <c r="AQ69" s="81">
        <v>89</v>
      </c>
      <c r="AR69" s="83">
        <v>229</v>
      </c>
      <c r="AS69" s="80">
        <v>119</v>
      </c>
      <c r="AT69" s="80">
        <v>110</v>
      </c>
      <c r="AU69" s="83">
        <v>339</v>
      </c>
      <c r="AV69" s="84">
        <v>158</v>
      </c>
      <c r="AW69" s="84">
        <v>181</v>
      </c>
      <c r="AX69" s="81">
        <v>5730</v>
      </c>
      <c r="AY69" s="81">
        <v>2671</v>
      </c>
      <c r="AZ69" s="81">
        <v>3059</v>
      </c>
      <c r="BA69" s="81">
        <v>490</v>
      </c>
      <c r="BB69" s="84">
        <v>213</v>
      </c>
      <c r="BC69" s="84">
        <v>277</v>
      </c>
      <c r="BD69" s="81">
        <v>214</v>
      </c>
      <c r="BE69" s="80">
        <v>113</v>
      </c>
      <c r="BF69" s="80">
        <v>101</v>
      </c>
      <c r="BG69" s="81">
        <v>276</v>
      </c>
      <c r="BH69" s="81">
        <v>118</v>
      </c>
      <c r="BI69" s="81">
        <v>158</v>
      </c>
      <c r="BJ69" s="81">
        <v>262</v>
      </c>
      <c r="BK69" s="80">
        <v>121</v>
      </c>
      <c r="BL69" s="80">
        <v>141</v>
      </c>
      <c r="BM69" s="81">
        <v>152</v>
      </c>
      <c r="BN69" s="81">
        <v>71</v>
      </c>
      <c r="BO69" s="81">
        <v>81</v>
      </c>
      <c r="BP69" s="81">
        <v>512</v>
      </c>
      <c r="BQ69" s="80">
        <v>211</v>
      </c>
      <c r="BR69" s="80">
        <v>301</v>
      </c>
      <c r="BS69" s="81">
        <v>298</v>
      </c>
      <c r="BT69" s="80">
        <v>132</v>
      </c>
      <c r="BU69" s="80">
        <v>166</v>
      </c>
      <c r="BV69" s="81">
        <v>502</v>
      </c>
      <c r="BW69" s="80">
        <v>221</v>
      </c>
      <c r="BX69" s="80">
        <v>281</v>
      </c>
      <c r="BY69" s="81">
        <v>250</v>
      </c>
      <c r="BZ69" s="85">
        <v>114</v>
      </c>
      <c r="CA69" s="85">
        <v>136</v>
      </c>
      <c r="CB69" s="81">
        <v>436</v>
      </c>
      <c r="CC69" s="80">
        <v>239</v>
      </c>
      <c r="CD69" s="80">
        <v>197</v>
      </c>
      <c r="CE69" s="81">
        <v>351</v>
      </c>
      <c r="CF69" s="80">
        <v>177</v>
      </c>
      <c r="CG69" s="80">
        <v>174</v>
      </c>
      <c r="CH69" s="81">
        <v>420</v>
      </c>
      <c r="CI69" s="80">
        <v>195</v>
      </c>
      <c r="CJ69" s="80">
        <v>225</v>
      </c>
      <c r="CK69" s="81">
        <v>432</v>
      </c>
      <c r="CL69" s="84">
        <v>184</v>
      </c>
      <c r="CM69" s="84">
        <v>248</v>
      </c>
      <c r="CN69" s="81">
        <v>351</v>
      </c>
      <c r="CO69" s="80">
        <v>174</v>
      </c>
      <c r="CP69" s="80">
        <v>177</v>
      </c>
      <c r="CQ69" s="81">
        <v>319</v>
      </c>
      <c r="CR69" s="80">
        <v>138</v>
      </c>
      <c r="CS69" s="80">
        <v>181</v>
      </c>
      <c r="CT69" s="81">
        <v>258</v>
      </c>
      <c r="CU69" s="80">
        <v>131</v>
      </c>
      <c r="CV69" s="80">
        <v>127</v>
      </c>
      <c r="CW69" s="81">
        <v>207</v>
      </c>
      <c r="CX69" s="80">
        <v>119</v>
      </c>
      <c r="CY69" s="80">
        <v>88</v>
      </c>
    </row>
    <row r="70" spans="1:103" ht="18.75" customHeight="1" x14ac:dyDescent="0.15">
      <c r="A70" s="87" t="s">
        <v>109</v>
      </c>
      <c r="B70" s="83">
        <v>9537</v>
      </c>
      <c r="C70" s="83">
        <v>4683</v>
      </c>
      <c r="D70" s="83">
        <v>4854</v>
      </c>
      <c r="E70" s="81">
        <v>3883</v>
      </c>
      <c r="F70" s="81">
        <v>1921</v>
      </c>
      <c r="G70" s="81">
        <v>1962</v>
      </c>
      <c r="H70" s="83">
        <v>321</v>
      </c>
      <c r="I70" s="84">
        <v>153</v>
      </c>
      <c r="J70" s="84">
        <v>168</v>
      </c>
      <c r="K70" s="83">
        <v>351</v>
      </c>
      <c r="L70" s="86">
        <v>176</v>
      </c>
      <c r="M70" s="86">
        <v>175</v>
      </c>
      <c r="N70" s="83">
        <v>233</v>
      </c>
      <c r="O70" s="81">
        <v>114</v>
      </c>
      <c r="P70" s="81">
        <v>119</v>
      </c>
      <c r="Q70" s="83">
        <v>89</v>
      </c>
      <c r="R70" s="82">
        <v>39</v>
      </c>
      <c r="S70" s="82">
        <v>50</v>
      </c>
      <c r="T70" s="83">
        <v>221</v>
      </c>
      <c r="U70" s="80">
        <v>109</v>
      </c>
      <c r="V70" s="80">
        <v>112</v>
      </c>
      <c r="W70" s="83">
        <v>398</v>
      </c>
      <c r="X70" s="84">
        <v>193</v>
      </c>
      <c r="Y70" s="84">
        <v>205</v>
      </c>
      <c r="Z70" s="83">
        <v>216</v>
      </c>
      <c r="AA70" s="84">
        <v>97</v>
      </c>
      <c r="AB70" s="84">
        <v>119</v>
      </c>
      <c r="AC70" s="83">
        <v>134</v>
      </c>
      <c r="AD70" s="81">
        <v>70</v>
      </c>
      <c r="AE70" s="81">
        <v>64</v>
      </c>
      <c r="AF70" s="83">
        <v>246</v>
      </c>
      <c r="AG70" s="80">
        <v>115</v>
      </c>
      <c r="AH70" s="80">
        <v>131</v>
      </c>
      <c r="AI70" s="83">
        <v>336</v>
      </c>
      <c r="AJ70" s="80">
        <v>160</v>
      </c>
      <c r="AK70" s="80">
        <v>176</v>
      </c>
      <c r="AL70" s="83">
        <v>540</v>
      </c>
      <c r="AM70" s="84">
        <v>295</v>
      </c>
      <c r="AN70" s="84">
        <v>245</v>
      </c>
      <c r="AO70" s="83">
        <v>216</v>
      </c>
      <c r="AP70" s="81">
        <v>115</v>
      </c>
      <c r="AQ70" s="81">
        <v>101</v>
      </c>
      <c r="AR70" s="83">
        <v>243</v>
      </c>
      <c r="AS70" s="80">
        <v>127</v>
      </c>
      <c r="AT70" s="80">
        <v>116</v>
      </c>
      <c r="AU70" s="83">
        <v>339</v>
      </c>
      <c r="AV70" s="84">
        <v>158</v>
      </c>
      <c r="AW70" s="84">
        <v>181</v>
      </c>
      <c r="AX70" s="81">
        <v>5654</v>
      </c>
      <c r="AY70" s="81">
        <v>2762</v>
      </c>
      <c r="AZ70" s="81">
        <v>2892</v>
      </c>
      <c r="BA70" s="81">
        <v>451</v>
      </c>
      <c r="BB70" s="84">
        <v>220</v>
      </c>
      <c r="BC70" s="84">
        <v>231</v>
      </c>
      <c r="BD70" s="81">
        <v>239</v>
      </c>
      <c r="BE70" s="80">
        <v>108</v>
      </c>
      <c r="BF70" s="80">
        <v>131</v>
      </c>
      <c r="BG70" s="81">
        <v>294</v>
      </c>
      <c r="BH70" s="81">
        <v>156</v>
      </c>
      <c r="BI70" s="81">
        <v>138</v>
      </c>
      <c r="BJ70" s="81">
        <v>310</v>
      </c>
      <c r="BK70" s="80">
        <v>148</v>
      </c>
      <c r="BL70" s="80">
        <v>162</v>
      </c>
      <c r="BM70" s="81">
        <v>135</v>
      </c>
      <c r="BN70" s="81">
        <v>63</v>
      </c>
      <c r="BO70" s="81">
        <v>72</v>
      </c>
      <c r="BP70" s="81">
        <v>571</v>
      </c>
      <c r="BQ70" s="80">
        <v>267</v>
      </c>
      <c r="BR70" s="80">
        <v>304</v>
      </c>
      <c r="BS70" s="81">
        <v>317</v>
      </c>
      <c r="BT70" s="80">
        <v>151</v>
      </c>
      <c r="BU70" s="80">
        <v>166</v>
      </c>
      <c r="BV70" s="81">
        <v>452</v>
      </c>
      <c r="BW70" s="80">
        <v>218</v>
      </c>
      <c r="BX70" s="80">
        <v>234</v>
      </c>
      <c r="BY70" s="81">
        <v>251</v>
      </c>
      <c r="BZ70" s="85">
        <v>122</v>
      </c>
      <c r="CA70" s="85">
        <v>129</v>
      </c>
      <c r="CB70" s="81">
        <v>404</v>
      </c>
      <c r="CC70" s="80">
        <v>208</v>
      </c>
      <c r="CD70" s="80">
        <v>196</v>
      </c>
      <c r="CE70" s="81">
        <v>304</v>
      </c>
      <c r="CF70" s="80">
        <v>164</v>
      </c>
      <c r="CG70" s="80">
        <v>140</v>
      </c>
      <c r="CH70" s="81">
        <v>384</v>
      </c>
      <c r="CI70" s="80">
        <v>198</v>
      </c>
      <c r="CJ70" s="80">
        <v>186</v>
      </c>
      <c r="CK70" s="81">
        <v>464</v>
      </c>
      <c r="CL70" s="84">
        <v>216</v>
      </c>
      <c r="CM70" s="84">
        <v>248</v>
      </c>
      <c r="CN70" s="81">
        <v>391</v>
      </c>
      <c r="CO70" s="80">
        <v>199</v>
      </c>
      <c r="CP70" s="80">
        <v>192</v>
      </c>
      <c r="CQ70" s="81">
        <v>274</v>
      </c>
      <c r="CR70" s="80">
        <v>129</v>
      </c>
      <c r="CS70" s="80">
        <v>145</v>
      </c>
      <c r="CT70" s="81">
        <v>225</v>
      </c>
      <c r="CU70" s="80">
        <v>106</v>
      </c>
      <c r="CV70" s="80">
        <v>119</v>
      </c>
      <c r="CW70" s="81">
        <v>188</v>
      </c>
      <c r="CX70" s="80">
        <v>89</v>
      </c>
      <c r="CY70" s="80">
        <v>99</v>
      </c>
    </row>
    <row r="71" spans="1:103" ht="18.75" customHeight="1" x14ac:dyDescent="0.15">
      <c r="A71" s="87" t="s">
        <v>108</v>
      </c>
      <c r="B71" s="83">
        <v>10123</v>
      </c>
      <c r="C71" s="83">
        <v>4954</v>
      </c>
      <c r="D71" s="83">
        <v>5169</v>
      </c>
      <c r="E71" s="81">
        <v>4213</v>
      </c>
      <c r="F71" s="81">
        <v>2102</v>
      </c>
      <c r="G71" s="81">
        <v>2111</v>
      </c>
      <c r="H71" s="83">
        <v>369</v>
      </c>
      <c r="I71" s="84">
        <v>190</v>
      </c>
      <c r="J71" s="84">
        <v>179</v>
      </c>
      <c r="K71" s="83">
        <v>392</v>
      </c>
      <c r="L71" s="86">
        <v>194</v>
      </c>
      <c r="M71" s="86">
        <v>198</v>
      </c>
      <c r="N71" s="83">
        <v>266</v>
      </c>
      <c r="O71" s="81">
        <v>141</v>
      </c>
      <c r="P71" s="81">
        <v>125</v>
      </c>
      <c r="Q71" s="83">
        <v>115</v>
      </c>
      <c r="R71" s="82">
        <v>62</v>
      </c>
      <c r="S71" s="82">
        <v>53</v>
      </c>
      <c r="T71" s="83">
        <v>245</v>
      </c>
      <c r="U71" s="80">
        <v>136</v>
      </c>
      <c r="V71" s="80">
        <v>109</v>
      </c>
      <c r="W71" s="83">
        <v>444</v>
      </c>
      <c r="X71" s="84">
        <v>212</v>
      </c>
      <c r="Y71" s="84">
        <v>232</v>
      </c>
      <c r="Z71" s="83">
        <v>248</v>
      </c>
      <c r="AA71" s="84">
        <v>117</v>
      </c>
      <c r="AB71" s="84">
        <v>131</v>
      </c>
      <c r="AC71" s="83">
        <v>140</v>
      </c>
      <c r="AD71" s="81">
        <v>72</v>
      </c>
      <c r="AE71" s="81">
        <v>68</v>
      </c>
      <c r="AF71" s="83">
        <v>280</v>
      </c>
      <c r="AG71" s="80">
        <v>129</v>
      </c>
      <c r="AH71" s="80">
        <v>151</v>
      </c>
      <c r="AI71" s="83">
        <v>355</v>
      </c>
      <c r="AJ71" s="80">
        <v>164</v>
      </c>
      <c r="AK71" s="80">
        <v>191</v>
      </c>
      <c r="AL71" s="83">
        <v>534</v>
      </c>
      <c r="AM71" s="84">
        <v>247</v>
      </c>
      <c r="AN71" s="84">
        <v>287</v>
      </c>
      <c r="AO71" s="83">
        <v>228</v>
      </c>
      <c r="AP71" s="81">
        <v>120</v>
      </c>
      <c r="AQ71" s="81">
        <v>108</v>
      </c>
      <c r="AR71" s="83">
        <v>272</v>
      </c>
      <c r="AS71" s="80">
        <v>137</v>
      </c>
      <c r="AT71" s="80">
        <v>135</v>
      </c>
      <c r="AU71" s="83">
        <v>325</v>
      </c>
      <c r="AV71" s="84">
        <v>181</v>
      </c>
      <c r="AW71" s="84">
        <v>144</v>
      </c>
      <c r="AX71" s="81">
        <v>5910</v>
      </c>
      <c r="AY71" s="81">
        <v>2852</v>
      </c>
      <c r="AZ71" s="81">
        <v>3058</v>
      </c>
      <c r="BA71" s="81">
        <v>532</v>
      </c>
      <c r="BB71" s="84">
        <v>235</v>
      </c>
      <c r="BC71" s="84">
        <v>297</v>
      </c>
      <c r="BD71" s="81">
        <v>241</v>
      </c>
      <c r="BE71" s="80">
        <v>112</v>
      </c>
      <c r="BF71" s="80">
        <v>129</v>
      </c>
      <c r="BG71" s="81">
        <v>335</v>
      </c>
      <c r="BH71" s="81">
        <v>156</v>
      </c>
      <c r="BI71" s="81">
        <v>179</v>
      </c>
      <c r="BJ71" s="81">
        <v>306</v>
      </c>
      <c r="BK71" s="80">
        <v>144</v>
      </c>
      <c r="BL71" s="80">
        <v>162</v>
      </c>
      <c r="BM71" s="81">
        <v>163</v>
      </c>
      <c r="BN71" s="81">
        <v>78</v>
      </c>
      <c r="BO71" s="81">
        <v>85</v>
      </c>
      <c r="BP71" s="81">
        <v>556</v>
      </c>
      <c r="BQ71" s="80">
        <v>271</v>
      </c>
      <c r="BR71" s="80">
        <v>285</v>
      </c>
      <c r="BS71" s="81">
        <v>367</v>
      </c>
      <c r="BT71" s="80">
        <v>182</v>
      </c>
      <c r="BU71" s="80">
        <v>185</v>
      </c>
      <c r="BV71" s="81">
        <v>484</v>
      </c>
      <c r="BW71" s="80">
        <v>232</v>
      </c>
      <c r="BX71" s="80">
        <v>252</v>
      </c>
      <c r="BY71" s="81">
        <v>268</v>
      </c>
      <c r="BZ71" s="85">
        <v>129</v>
      </c>
      <c r="CA71" s="85">
        <v>139</v>
      </c>
      <c r="CB71" s="81">
        <v>389</v>
      </c>
      <c r="CC71" s="80">
        <v>193</v>
      </c>
      <c r="CD71" s="80">
        <v>196</v>
      </c>
      <c r="CE71" s="81">
        <v>312</v>
      </c>
      <c r="CF71" s="80">
        <v>168</v>
      </c>
      <c r="CG71" s="80">
        <v>144</v>
      </c>
      <c r="CH71" s="81">
        <v>389</v>
      </c>
      <c r="CI71" s="80">
        <v>194</v>
      </c>
      <c r="CJ71" s="80">
        <v>195</v>
      </c>
      <c r="CK71" s="81">
        <v>475</v>
      </c>
      <c r="CL71" s="84">
        <v>245</v>
      </c>
      <c r="CM71" s="84">
        <v>230</v>
      </c>
      <c r="CN71" s="81">
        <v>401</v>
      </c>
      <c r="CO71" s="80">
        <v>177</v>
      </c>
      <c r="CP71" s="80">
        <v>224</v>
      </c>
      <c r="CQ71" s="81">
        <v>299</v>
      </c>
      <c r="CR71" s="80">
        <v>155</v>
      </c>
      <c r="CS71" s="80">
        <v>144</v>
      </c>
      <c r="CT71" s="81">
        <v>213</v>
      </c>
      <c r="CU71" s="80">
        <v>88</v>
      </c>
      <c r="CV71" s="80">
        <v>125</v>
      </c>
      <c r="CW71" s="81">
        <v>180</v>
      </c>
      <c r="CX71" s="80">
        <v>93</v>
      </c>
      <c r="CY71" s="80">
        <v>87</v>
      </c>
    </row>
    <row r="72" spans="1:103" ht="18.75" customHeight="1" x14ac:dyDescent="0.15">
      <c r="A72" s="57" t="s">
        <v>189</v>
      </c>
      <c r="B72" s="78">
        <v>47784</v>
      </c>
      <c r="C72" s="78">
        <v>22932</v>
      </c>
      <c r="D72" s="78">
        <v>24852</v>
      </c>
      <c r="E72" s="78">
        <v>20859</v>
      </c>
      <c r="F72" s="78">
        <v>10053</v>
      </c>
      <c r="G72" s="78">
        <v>10806</v>
      </c>
      <c r="H72" s="78">
        <v>1591</v>
      </c>
      <c r="I72" s="78">
        <v>770</v>
      </c>
      <c r="J72" s="78">
        <v>821</v>
      </c>
      <c r="K72" s="78">
        <v>1948</v>
      </c>
      <c r="L72" s="78">
        <v>910</v>
      </c>
      <c r="M72" s="78">
        <v>1038</v>
      </c>
      <c r="N72" s="78">
        <v>1374</v>
      </c>
      <c r="O72" s="78">
        <v>629</v>
      </c>
      <c r="P72" s="78">
        <v>745</v>
      </c>
      <c r="Q72" s="78">
        <v>590</v>
      </c>
      <c r="R72" s="78">
        <v>295</v>
      </c>
      <c r="S72" s="78">
        <v>295</v>
      </c>
      <c r="T72" s="78">
        <v>1140</v>
      </c>
      <c r="U72" s="78">
        <v>558</v>
      </c>
      <c r="V72" s="78">
        <v>582</v>
      </c>
      <c r="W72" s="78">
        <v>2092</v>
      </c>
      <c r="X72" s="78">
        <v>1033</v>
      </c>
      <c r="Y72" s="78">
        <v>1059</v>
      </c>
      <c r="Z72" s="78">
        <v>1080</v>
      </c>
      <c r="AA72" s="78">
        <v>528</v>
      </c>
      <c r="AB72" s="78">
        <v>552</v>
      </c>
      <c r="AC72" s="78">
        <v>747</v>
      </c>
      <c r="AD72" s="78">
        <v>385</v>
      </c>
      <c r="AE72" s="78">
        <v>362</v>
      </c>
      <c r="AF72" s="78">
        <v>1509</v>
      </c>
      <c r="AG72" s="78">
        <v>734</v>
      </c>
      <c r="AH72" s="78">
        <v>775</v>
      </c>
      <c r="AI72" s="78">
        <v>1707</v>
      </c>
      <c r="AJ72" s="78">
        <v>789</v>
      </c>
      <c r="AK72" s="78">
        <v>918</v>
      </c>
      <c r="AL72" s="78">
        <v>2850</v>
      </c>
      <c r="AM72" s="78">
        <v>1401</v>
      </c>
      <c r="AN72" s="78">
        <v>1449</v>
      </c>
      <c r="AO72" s="78">
        <v>1160</v>
      </c>
      <c r="AP72" s="78">
        <v>563</v>
      </c>
      <c r="AQ72" s="78">
        <v>597</v>
      </c>
      <c r="AR72" s="78">
        <v>1429</v>
      </c>
      <c r="AS72" s="78">
        <v>747</v>
      </c>
      <c r="AT72" s="78">
        <v>682</v>
      </c>
      <c r="AU72" s="78">
        <v>1642</v>
      </c>
      <c r="AV72" s="78">
        <v>711</v>
      </c>
      <c r="AW72" s="78">
        <v>931</v>
      </c>
      <c r="AX72" s="78">
        <v>26925</v>
      </c>
      <c r="AY72" s="78">
        <v>12879</v>
      </c>
      <c r="AZ72" s="78">
        <v>14046</v>
      </c>
      <c r="BA72" s="78">
        <v>2258</v>
      </c>
      <c r="BB72" s="78">
        <v>1077</v>
      </c>
      <c r="BC72" s="78">
        <v>1181</v>
      </c>
      <c r="BD72" s="78">
        <v>1062</v>
      </c>
      <c r="BE72" s="78">
        <v>508</v>
      </c>
      <c r="BF72" s="78">
        <v>554</v>
      </c>
      <c r="BG72" s="78">
        <v>1547</v>
      </c>
      <c r="BH72" s="78">
        <v>721</v>
      </c>
      <c r="BI72" s="78">
        <v>826</v>
      </c>
      <c r="BJ72" s="78">
        <v>1270</v>
      </c>
      <c r="BK72" s="78">
        <v>618</v>
      </c>
      <c r="BL72" s="78">
        <v>652</v>
      </c>
      <c r="BM72" s="78">
        <v>691</v>
      </c>
      <c r="BN72" s="78">
        <v>294</v>
      </c>
      <c r="BO72" s="78">
        <v>397</v>
      </c>
      <c r="BP72" s="78">
        <v>3241</v>
      </c>
      <c r="BQ72" s="78">
        <v>1496</v>
      </c>
      <c r="BR72" s="78">
        <v>1745</v>
      </c>
      <c r="BS72" s="78">
        <v>1584</v>
      </c>
      <c r="BT72" s="78">
        <v>802</v>
      </c>
      <c r="BU72" s="78">
        <v>782</v>
      </c>
      <c r="BV72" s="78">
        <v>2004</v>
      </c>
      <c r="BW72" s="78">
        <v>940</v>
      </c>
      <c r="BX72" s="78">
        <v>1064</v>
      </c>
      <c r="BY72" s="78">
        <v>1536</v>
      </c>
      <c r="BZ72" s="78">
        <v>708</v>
      </c>
      <c r="CA72" s="78">
        <v>828</v>
      </c>
      <c r="CB72" s="78">
        <v>1520</v>
      </c>
      <c r="CC72" s="78">
        <v>772</v>
      </c>
      <c r="CD72" s="78">
        <v>748</v>
      </c>
      <c r="CE72" s="78">
        <v>1112</v>
      </c>
      <c r="CF72" s="78">
        <v>579</v>
      </c>
      <c r="CG72" s="78">
        <v>533</v>
      </c>
      <c r="CH72" s="78">
        <v>1656</v>
      </c>
      <c r="CI72" s="78">
        <v>829</v>
      </c>
      <c r="CJ72" s="78">
        <v>827</v>
      </c>
      <c r="CK72" s="78">
        <v>2204</v>
      </c>
      <c r="CL72" s="78">
        <v>1022</v>
      </c>
      <c r="CM72" s="78">
        <v>1182</v>
      </c>
      <c r="CN72" s="78">
        <v>2171</v>
      </c>
      <c r="CO72" s="78">
        <v>1032</v>
      </c>
      <c r="CP72" s="78">
        <v>1139</v>
      </c>
      <c r="CQ72" s="78">
        <v>1191</v>
      </c>
      <c r="CR72" s="78">
        <v>581</v>
      </c>
      <c r="CS72" s="78">
        <v>610</v>
      </c>
      <c r="CT72" s="78">
        <v>1016</v>
      </c>
      <c r="CU72" s="78">
        <v>482</v>
      </c>
      <c r="CV72" s="78">
        <v>534</v>
      </c>
      <c r="CW72" s="78">
        <v>862</v>
      </c>
      <c r="CX72" s="78">
        <v>418</v>
      </c>
      <c r="CY72" s="78">
        <v>444</v>
      </c>
    </row>
    <row r="73" spans="1:103" ht="18.75" customHeight="1" x14ac:dyDescent="0.15">
      <c r="A73" s="87" t="s">
        <v>106</v>
      </c>
      <c r="B73" s="83">
        <v>9910</v>
      </c>
      <c r="C73" s="83">
        <v>4740</v>
      </c>
      <c r="D73" s="83">
        <v>5170</v>
      </c>
      <c r="E73" s="81">
        <v>4137</v>
      </c>
      <c r="F73" s="81">
        <v>1978</v>
      </c>
      <c r="G73" s="81">
        <v>2159</v>
      </c>
      <c r="H73" s="83">
        <v>322</v>
      </c>
      <c r="I73" s="84">
        <v>145</v>
      </c>
      <c r="J73" s="84">
        <v>177</v>
      </c>
      <c r="K73" s="83">
        <v>368</v>
      </c>
      <c r="L73" s="86">
        <v>158</v>
      </c>
      <c r="M73" s="86">
        <v>210</v>
      </c>
      <c r="N73" s="83">
        <v>224</v>
      </c>
      <c r="O73" s="81">
        <v>102</v>
      </c>
      <c r="P73" s="81">
        <v>122</v>
      </c>
      <c r="Q73" s="83">
        <v>123</v>
      </c>
      <c r="R73" s="82">
        <v>59</v>
      </c>
      <c r="S73" s="82">
        <v>64</v>
      </c>
      <c r="T73" s="83">
        <v>218</v>
      </c>
      <c r="U73" s="80">
        <v>107</v>
      </c>
      <c r="V73" s="80">
        <v>111</v>
      </c>
      <c r="W73" s="83">
        <v>448</v>
      </c>
      <c r="X73" s="84">
        <v>222</v>
      </c>
      <c r="Y73" s="84">
        <v>226</v>
      </c>
      <c r="Z73" s="83">
        <v>225</v>
      </c>
      <c r="AA73" s="84">
        <v>110</v>
      </c>
      <c r="AB73" s="84">
        <v>115</v>
      </c>
      <c r="AC73" s="83">
        <v>162</v>
      </c>
      <c r="AD73" s="81">
        <v>78</v>
      </c>
      <c r="AE73" s="81">
        <v>84</v>
      </c>
      <c r="AF73" s="83">
        <v>292</v>
      </c>
      <c r="AG73" s="80">
        <v>135</v>
      </c>
      <c r="AH73" s="80">
        <v>157</v>
      </c>
      <c r="AI73" s="83">
        <v>333</v>
      </c>
      <c r="AJ73" s="80">
        <v>162</v>
      </c>
      <c r="AK73" s="80">
        <v>171</v>
      </c>
      <c r="AL73" s="83">
        <v>572</v>
      </c>
      <c r="AM73" s="84">
        <v>284</v>
      </c>
      <c r="AN73" s="84">
        <v>288</v>
      </c>
      <c r="AO73" s="83">
        <v>224</v>
      </c>
      <c r="AP73" s="81">
        <v>122</v>
      </c>
      <c r="AQ73" s="81">
        <v>102</v>
      </c>
      <c r="AR73" s="83">
        <v>285</v>
      </c>
      <c r="AS73" s="80">
        <v>150</v>
      </c>
      <c r="AT73" s="80">
        <v>135</v>
      </c>
      <c r="AU73" s="83">
        <v>341</v>
      </c>
      <c r="AV73" s="84">
        <v>144</v>
      </c>
      <c r="AW73" s="84">
        <v>197</v>
      </c>
      <c r="AX73" s="81">
        <v>5773</v>
      </c>
      <c r="AY73" s="81">
        <v>2762</v>
      </c>
      <c r="AZ73" s="81">
        <v>3011</v>
      </c>
      <c r="BA73" s="81">
        <v>508</v>
      </c>
      <c r="BB73" s="84">
        <v>248</v>
      </c>
      <c r="BC73" s="84">
        <v>260</v>
      </c>
      <c r="BD73" s="81">
        <v>227</v>
      </c>
      <c r="BE73" s="80">
        <v>108</v>
      </c>
      <c r="BF73" s="80">
        <v>119</v>
      </c>
      <c r="BG73" s="81">
        <v>326</v>
      </c>
      <c r="BH73" s="81">
        <v>162</v>
      </c>
      <c r="BI73" s="81">
        <v>164</v>
      </c>
      <c r="BJ73" s="81">
        <v>289</v>
      </c>
      <c r="BK73" s="80">
        <v>135</v>
      </c>
      <c r="BL73" s="80">
        <v>154</v>
      </c>
      <c r="BM73" s="81">
        <v>151</v>
      </c>
      <c r="BN73" s="81">
        <v>59</v>
      </c>
      <c r="BO73" s="81">
        <v>92</v>
      </c>
      <c r="BP73" s="81">
        <v>618</v>
      </c>
      <c r="BQ73" s="80">
        <v>269</v>
      </c>
      <c r="BR73" s="80">
        <v>349</v>
      </c>
      <c r="BS73" s="81">
        <v>344</v>
      </c>
      <c r="BT73" s="80">
        <v>178</v>
      </c>
      <c r="BU73" s="80">
        <v>166</v>
      </c>
      <c r="BV73" s="81">
        <v>468</v>
      </c>
      <c r="BW73" s="80">
        <v>231</v>
      </c>
      <c r="BX73" s="80">
        <v>237</v>
      </c>
      <c r="BY73" s="81">
        <v>301</v>
      </c>
      <c r="BZ73" s="85">
        <v>130</v>
      </c>
      <c r="CA73" s="85">
        <v>171</v>
      </c>
      <c r="CB73" s="81">
        <v>344</v>
      </c>
      <c r="CC73" s="80">
        <v>178</v>
      </c>
      <c r="CD73" s="80">
        <v>166</v>
      </c>
      <c r="CE73" s="81">
        <v>268</v>
      </c>
      <c r="CF73" s="80">
        <v>137</v>
      </c>
      <c r="CG73" s="80">
        <v>131</v>
      </c>
      <c r="CH73" s="81">
        <v>381</v>
      </c>
      <c r="CI73" s="80">
        <v>182</v>
      </c>
      <c r="CJ73" s="80">
        <v>199</v>
      </c>
      <c r="CK73" s="81">
        <v>432</v>
      </c>
      <c r="CL73" s="84">
        <v>206</v>
      </c>
      <c r="CM73" s="84">
        <v>226</v>
      </c>
      <c r="CN73" s="81">
        <v>430</v>
      </c>
      <c r="CO73" s="80">
        <v>211</v>
      </c>
      <c r="CP73" s="80">
        <v>219</v>
      </c>
      <c r="CQ73" s="81">
        <v>289</v>
      </c>
      <c r="CR73" s="80">
        <v>128</v>
      </c>
      <c r="CS73" s="80">
        <v>161</v>
      </c>
      <c r="CT73" s="81">
        <v>230</v>
      </c>
      <c r="CU73" s="80">
        <v>120</v>
      </c>
      <c r="CV73" s="80">
        <v>110</v>
      </c>
      <c r="CW73" s="81">
        <v>167</v>
      </c>
      <c r="CX73" s="80">
        <v>80</v>
      </c>
      <c r="CY73" s="80">
        <v>87</v>
      </c>
    </row>
    <row r="74" spans="1:103" ht="18.75" customHeight="1" x14ac:dyDescent="0.15">
      <c r="A74" s="87" t="s">
        <v>105</v>
      </c>
      <c r="B74" s="83">
        <v>9972</v>
      </c>
      <c r="C74" s="83">
        <v>4706</v>
      </c>
      <c r="D74" s="83">
        <v>5266</v>
      </c>
      <c r="E74" s="81">
        <v>4253</v>
      </c>
      <c r="F74" s="81">
        <v>2000</v>
      </c>
      <c r="G74" s="81">
        <v>2253</v>
      </c>
      <c r="H74" s="83">
        <v>328</v>
      </c>
      <c r="I74" s="84">
        <v>167</v>
      </c>
      <c r="J74" s="84">
        <v>161</v>
      </c>
      <c r="K74" s="83">
        <v>407</v>
      </c>
      <c r="L74" s="86">
        <v>189</v>
      </c>
      <c r="M74" s="86">
        <v>218</v>
      </c>
      <c r="N74" s="83">
        <v>271</v>
      </c>
      <c r="O74" s="81">
        <v>121</v>
      </c>
      <c r="P74" s="81">
        <v>150</v>
      </c>
      <c r="Q74" s="83">
        <v>124</v>
      </c>
      <c r="R74" s="82">
        <v>62</v>
      </c>
      <c r="S74" s="82">
        <v>62</v>
      </c>
      <c r="T74" s="83">
        <v>242</v>
      </c>
      <c r="U74" s="80">
        <v>110</v>
      </c>
      <c r="V74" s="80">
        <v>132</v>
      </c>
      <c r="W74" s="83">
        <v>433</v>
      </c>
      <c r="X74" s="84">
        <v>211</v>
      </c>
      <c r="Y74" s="84">
        <v>222</v>
      </c>
      <c r="Z74" s="83">
        <v>224</v>
      </c>
      <c r="AA74" s="84">
        <v>108</v>
      </c>
      <c r="AB74" s="84">
        <v>116</v>
      </c>
      <c r="AC74" s="83">
        <v>138</v>
      </c>
      <c r="AD74" s="81">
        <v>70</v>
      </c>
      <c r="AE74" s="81">
        <v>68</v>
      </c>
      <c r="AF74" s="83">
        <v>314</v>
      </c>
      <c r="AG74" s="80">
        <v>147</v>
      </c>
      <c r="AH74" s="80">
        <v>167</v>
      </c>
      <c r="AI74" s="83">
        <v>316</v>
      </c>
      <c r="AJ74" s="80">
        <v>128</v>
      </c>
      <c r="AK74" s="80">
        <v>188</v>
      </c>
      <c r="AL74" s="83">
        <v>603</v>
      </c>
      <c r="AM74" s="84">
        <v>281</v>
      </c>
      <c r="AN74" s="84">
        <v>322</v>
      </c>
      <c r="AO74" s="83">
        <v>238</v>
      </c>
      <c r="AP74" s="81">
        <v>114</v>
      </c>
      <c r="AQ74" s="81">
        <v>124</v>
      </c>
      <c r="AR74" s="83">
        <v>276</v>
      </c>
      <c r="AS74" s="80">
        <v>134</v>
      </c>
      <c r="AT74" s="80">
        <v>142</v>
      </c>
      <c r="AU74" s="83">
        <v>339</v>
      </c>
      <c r="AV74" s="84">
        <v>158</v>
      </c>
      <c r="AW74" s="84">
        <v>181</v>
      </c>
      <c r="AX74" s="81">
        <v>5719</v>
      </c>
      <c r="AY74" s="81">
        <v>2706</v>
      </c>
      <c r="AZ74" s="81">
        <v>3013</v>
      </c>
      <c r="BA74" s="81">
        <v>456</v>
      </c>
      <c r="BB74" s="84">
        <v>228</v>
      </c>
      <c r="BC74" s="84">
        <v>228</v>
      </c>
      <c r="BD74" s="81">
        <v>228</v>
      </c>
      <c r="BE74" s="80">
        <v>111</v>
      </c>
      <c r="BF74" s="80">
        <v>117</v>
      </c>
      <c r="BG74" s="81">
        <v>329</v>
      </c>
      <c r="BH74" s="81">
        <v>144</v>
      </c>
      <c r="BI74" s="81">
        <v>185</v>
      </c>
      <c r="BJ74" s="81">
        <v>300</v>
      </c>
      <c r="BK74" s="80">
        <v>146</v>
      </c>
      <c r="BL74" s="80">
        <v>154</v>
      </c>
      <c r="BM74" s="81">
        <v>163</v>
      </c>
      <c r="BN74" s="81">
        <v>61</v>
      </c>
      <c r="BO74" s="81">
        <v>102</v>
      </c>
      <c r="BP74" s="81">
        <v>648</v>
      </c>
      <c r="BQ74" s="80">
        <v>291</v>
      </c>
      <c r="BR74" s="80">
        <v>357</v>
      </c>
      <c r="BS74" s="81">
        <v>338</v>
      </c>
      <c r="BT74" s="80">
        <v>170</v>
      </c>
      <c r="BU74" s="80">
        <v>168</v>
      </c>
      <c r="BV74" s="81">
        <v>440</v>
      </c>
      <c r="BW74" s="80">
        <v>209</v>
      </c>
      <c r="BX74" s="80">
        <v>231</v>
      </c>
      <c r="BY74" s="81">
        <v>300</v>
      </c>
      <c r="BZ74" s="85">
        <v>129</v>
      </c>
      <c r="CA74" s="85">
        <v>171</v>
      </c>
      <c r="CB74" s="81">
        <v>339</v>
      </c>
      <c r="CC74" s="80">
        <v>173</v>
      </c>
      <c r="CD74" s="80">
        <v>166</v>
      </c>
      <c r="CE74" s="81">
        <v>238</v>
      </c>
      <c r="CF74" s="80">
        <v>135</v>
      </c>
      <c r="CG74" s="80">
        <v>103</v>
      </c>
      <c r="CH74" s="81">
        <v>350</v>
      </c>
      <c r="CI74" s="80">
        <v>157</v>
      </c>
      <c r="CJ74" s="80">
        <v>193</v>
      </c>
      <c r="CK74" s="81">
        <v>482</v>
      </c>
      <c r="CL74" s="84">
        <v>223</v>
      </c>
      <c r="CM74" s="84">
        <v>259</v>
      </c>
      <c r="CN74" s="81">
        <v>448</v>
      </c>
      <c r="CO74" s="80">
        <v>211</v>
      </c>
      <c r="CP74" s="80">
        <v>237</v>
      </c>
      <c r="CQ74" s="81">
        <v>251</v>
      </c>
      <c r="CR74" s="80">
        <v>125</v>
      </c>
      <c r="CS74" s="80">
        <v>126</v>
      </c>
      <c r="CT74" s="81">
        <v>223</v>
      </c>
      <c r="CU74" s="80">
        <v>105</v>
      </c>
      <c r="CV74" s="80">
        <v>118</v>
      </c>
      <c r="CW74" s="81">
        <v>186</v>
      </c>
      <c r="CX74" s="80">
        <v>88</v>
      </c>
      <c r="CY74" s="80">
        <v>98</v>
      </c>
    </row>
    <row r="75" spans="1:103" ht="18.75" customHeight="1" x14ac:dyDescent="0.15">
      <c r="A75" s="87" t="s">
        <v>104</v>
      </c>
      <c r="B75" s="83">
        <v>10001</v>
      </c>
      <c r="C75" s="83">
        <v>4854</v>
      </c>
      <c r="D75" s="83">
        <v>5147</v>
      </c>
      <c r="E75" s="81">
        <v>4337</v>
      </c>
      <c r="F75" s="81">
        <v>2105</v>
      </c>
      <c r="G75" s="81">
        <v>2232</v>
      </c>
      <c r="H75" s="83">
        <v>343</v>
      </c>
      <c r="I75" s="84">
        <v>161</v>
      </c>
      <c r="J75" s="84">
        <v>182</v>
      </c>
      <c r="K75" s="83">
        <v>408</v>
      </c>
      <c r="L75" s="86">
        <v>196</v>
      </c>
      <c r="M75" s="86">
        <v>212</v>
      </c>
      <c r="N75" s="83">
        <v>316</v>
      </c>
      <c r="O75" s="81">
        <v>146</v>
      </c>
      <c r="P75" s="81">
        <v>170</v>
      </c>
      <c r="Q75" s="83">
        <v>129</v>
      </c>
      <c r="R75" s="82">
        <v>60</v>
      </c>
      <c r="S75" s="82">
        <v>69</v>
      </c>
      <c r="T75" s="83">
        <v>241</v>
      </c>
      <c r="U75" s="80">
        <v>122</v>
      </c>
      <c r="V75" s="80">
        <v>119</v>
      </c>
      <c r="W75" s="83">
        <v>416</v>
      </c>
      <c r="X75" s="84">
        <v>205</v>
      </c>
      <c r="Y75" s="84">
        <v>211</v>
      </c>
      <c r="Z75" s="83">
        <v>223</v>
      </c>
      <c r="AA75" s="84">
        <v>106</v>
      </c>
      <c r="AB75" s="84">
        <v>117</v>
      </c>
      <c r="AC75" s="83">
        <v>151</v>
      </c>
      <c r="AD75" s="81">
        <v>77</v>
      </c>
      <c r="AE75" s="81">
        <v>74</v>
      </c>
      <c r="AF75" s="83">
        <v>314</v>
      </c>
      <c r="AG75" s="80">
        <v>160</v>
      </c>
      <c r="AH75" s="80">
        <v>154</v>
      </c>
      <c r="AI75" s="83">
        <v>378</v>
      </c>
      <c r="AJ75" s="80">
        <v>180</v>
      </c>
      <c r="AK75" s="80">
        <v>198</v>
      </c>
      <c r="AL75" s="83">
        <v>577</v>
      </c>
      <c r="AM75" s="84">
        <v>286</v>
      </c>
      <c r="AN75" s="84">
        <v>291</v>
      </c>
      <c r="AO75" s="83">
        <v>227</v>
      </c>
      <c r="AP75" s="81">
        <v>111</v>
      </c>
      <c r="AQ75" s="81">
        <v>116</v>
      </c>
      <c r="AR75" s="83">
        <v>291</v>
      </c>
      <c r="AS75" s="80">
        <v>151</v>
      </c>
      <c r="AT75" s="80">
        <v>140</v>
      </c>
      <c r="AU75" s="83">
        <v>323</v>
      </c>
      <c r="AV75" s="84">
        <v>144</v>
      </c>
      <c r="AW75" s="84">
        <v>179</v>
      </c>
      <c r="AX75" s="81">
        <v>5664</v>
      </c>
      <c r="AY75" s="81">
        <v>2749</v>
      </c>
      <c r="AZ75" s="81">
        <v>2915</v>
      </c>
      <c r="BA75" s="81">
        <v>483</v>
      </c>
      <c r="BB75" s="84">
        <v>235</v>
      </c>
      <c r="BC75" s="84">
        <v>248</v>
      </c>
      <c r="BD75" s="81">
        <v>210</v>
      </c>
      <c r="BE75" s="80">
        <v>93</v>
      </c>
      <c r="BF75" s="80">
        <v>117</v>
      </c>
      <c r="BG75" s="81">
        <v>315</v>
      </c>
      <c r="BH75" s="81">
        <v>148</v>
      </c>
      <c r="BI75" s="81">
        <v>167</v>
      </c>
      <c r="BJ75" s="81">
        <v>268</v>
      </c>
      <c r="BK75" s="80">
        <v>143</v>
      </c>
      <c r="BL75" s="80">
        <v>125</v>
      </c>
      <c r="BM75" s="81">
        <v>142</v>
      </c>
      <c r="BN75" s="81">
        <v>63</v>
      </c>
      <c r="BO75" s="81">
        <v>79</v>
      </c>
      <c r="BP75" s="81">
        <v>703</v>
      </c>
      <c r="BQ75" s="80">
        <v>339</v>
      </c>
      <c r="BR75" s="80">
        <v>364</v>
      </c>
      <c r="BS75" s="81">
        <v>304</v>
      </c>
      <c r="BT75" s="80">
        <v>160</v>
      </c>
      <c r="BU75" s="80">
        <v>144</v>
      </c>
      <c r="BV75" s="81">
        <v>404</v>
      </c>
      <c r="BW75" s="80">
        <v>171</v>
      </c>
      <c r="BX75" s="80">
        <v>233</v>
      </c>
      <c r="BY75" s="81">
        <v>321</v>
      </c>
      <c r="BZ75" s="85">
        <v>150</v>
      </c>
      <c r="CA75" s="85">
        <v>171</v>
      </c>
      <c r="CB75" s="81">
        <v>329</v>
      </c>
      <c r="CC75" s="80">
        <v>162</v>
      </c>
      <c r="CD75" s="80">
        <v>167</v>
      </c>
      <c r="CE75" s="81">
        <v>244</v>
      </c>
      <c r="CF75" s="80">
        <v>124</v>
      </c>
      <c r="CG75" s="80">
        <v>120</v>
      </c>
      <c r="CH75" s="81">
        <v>364</v>
      </c>
      <c r="CI75" s="80">
        <v>201</v>
      </c>
      <c r="CJ75" s="80">
        <v>163</v>
      </c>
      <c r="CK75" s="81">
        <v>464</v>
      </c>
      <c r="CL75" s="84">
        <v>218</v>
      </c>
      <c r="CM75" s="84">
        <v>246</v>
      </c>
      <c r="CN75" s="81">
        <v>466</v>
      </c>
      <c r="CO75" s="80">
        <v>212</v>
      </c>
      <c r="CP75" s="80">
        <v>254</v>
      </c>
      <c r="CQ75" s="81">
        <v>242</v>
      </c>
      <c r="CR75" s="80">
        <v>126</v>
      </c>
      <c r="CS75" s="80">
        <v>116</v>
      </c>
      <c r="CT75" s="81">
        <v>210</v>
      </c>
      <c r="CU75" s="80">
        <v>104</v>
      </c>
      <c r="CV75" s="80">
        <v>106</v>
      </c>
      <c r="CW75" s="81">
        <v>195</v>
      </c>
      <c r="CX75" s="80">
        <v>100</v>
      </c>
      <c r="CY75" s="80">
        <v>95</v>
      </c>
    </row>
    <row r="76" spans="1:103" ht="18.75" customHeight="1" x14ac:dyDescent="0.15">
      <c r="A76" s="87" t="s">
        <v>103</v>
      </c>
      <c r="B76" s="83">
        <v>9222</v>
      </c>
      <c r="C76" s="83">
        <v>4281</v>
      </c>
      <c r="D76" s="83">
        <v>4941</v>
      </c>
      <c r="E76" s="81">
        <v>4114</v>
      </c>
      <c r="F76" s="81">
        <v>1926</v>
      </c>
      <c r="G76" s="81">
        <v>2188</v>
      </c>
      <c r="H76" s="83">
        <v>308</v>
      </c>
      <c r="I76" s="84">
        <v>141</v>
      </c>
      <c r="J76" s="84">
        <v>167</v>
      </c>
      <c r="K76" s="83">
        <v>401</v>
      </c>
      <c r="L76" s="86">
        <v>191</v>
      </c>
      <c r="M76" s="86">
        <v>210</v>
      </c>
      <c r="N76" s="83">
        <v>272</v>
      </c>
      <c r="O76" s="81">
        <v>122</v>
      </c>
      <c r="P76" s="81">
        <v>150</v>
      </c>
      <c r="Q76" s="83">
        <v>104</v>
      </c>
      <c r="R76" s="82">
        <v>60</v>
      </c>
      <c r="S76" s="82">
        <v>44</v>
      </c>
      <c r="T76" s="83">
        <v>230</v>
      </c>
      <c r="U76" s="80">
        <v>118</v>
      </c>
      <c r="V76" s="80">
        <v>112</v>
      </c>
      <c r="W76" s="83">
        <v>405</v>
      </c>
      <c r="X76" s="84">
        <v>188</v>
      </c>
      <c r="Y76" s="84">
        <v>217</v>
      </c>
      <c r="Z76" s="83">
        <v>221</v>
      </c>
      <c r="AA76" s="84">
        <v>100</v>
      </c>
      <c r="AB76" s="84">
        <v>121</v>
      </c>
      <c r="AC76" s="83">
        <v>138</v>
      </c>
      <c r="AD76" s="81">
        <v>70</v>
      </c>
      <c r="AE76" s="81">
        <v>68</v>
      </c>
      <c r="AF76" s="83">
        <v>293</v>
      </c>
      <c r="AG76" s="80">
        <v>146</v>
      </c>
      <c r="AH76" s="80">
        <v>147</v>
      </c>
      <c r="AI76" s="83">
        <v>372</v>
      </c>
      <c r="AJ76" s="80">
        <v>154</v>
      </c>
      <c r="AK76" s="80">
        <v>218</v>
      </c>
      <c r="AL76" s="83">
        <v>541</v>
      </c>
      <c r="AM76" s="84">
        <v>269</v>
      </c>
      <c r="AN76" s="84">
        <v>272</v>
      </c>
      <c r="AO76" s="83">
        <v>219</v>
      </c>
      <c r="AP76" s="81">
        <v>97</v>
      </c>
      <c r="AQ76" s="81">
        <v>122</v>
      </c>
      <c r="AR76" s="83">
        <v>299</v>
      </c>
      <c r="AS76" s="80">
        <v>152</v>
      </c>
      <c r="AT76" s="80">
        <v>147</v>
      </c>
      <c r="AU76" s="83">
        <v>311</v>
      </c>
      <c r="AV76" s="84">
        <v>118</v>
      </c>
      <c r="AW76" s="84">
        <v>193</v>
      </c>
      <c r="AX76" s="81">
        <v>5108</v>
      </c>
      <c r="AY76" s="81">
        <v>2355</v>
      </c>
      <c r="AZ76" s="81">
        <v>2753</v>
      </c>
      <c r="BA76" s="81">
        <v>432</v>
      </c>
      <c r="BB76" s="84">
        <v>189</v>
      </c>
      <c r="BC76" s="84">
        <v>243</v>
      </c>
      <c r="BD76" s="81">
        <v>201</v>
      </c>
      <c r="BE76" s="80">
        <v>94</v>
      </c>
      <c r="BF76" s="80">
        <v>107</v>
      </c>
      <c r="BG76" s="81">
        <v>297</v>
      </c>
      <c r="BH76" s="81">
        <v>142</v>
      </c>
      <c r="BI76" s="81">
        <v>155</v>
      </c>
      <c r="BJ76" s="81">
        <v>229</v>
      </c>
      <c r="BK76" s="80">
        <v>108</v>
      </c>
      <c r="BL76" s="80">
        <v>121</v>
      </c>
      <c r="BM76" s="81">
        <v>114</v>
      </c>
      <c r="BN76" s="81">
        <v>45</v>
      </c>
      <c r="BO76" s="81">
        <v>69</v>
      </c>
      <c r="BP76" s="81">
        <v>639</v>
      </c>
      <c r="BQ76" s="80">
        <v>283</v>
      </c>
      <c r="BR76" s="80">
        <v>356</v>
      </c>
      <c r="BS76" s="81">
        <v>311</v>
      </c>
      <c r="BT76" s="80">
        <v>158</v>
      </c>
      <c r="BU76" s="80">
        <v>153</v>
      </c>
      <c r="BV76" s="81">
        <v>407</v>
      </c>
      <c r="BW76" s="80">
        <v>190</v>
      </c>
      <c r="BX76" s="80">
        <v>217</v>
      </c>
      <c r="BY76" s="81">
        <v>316</v>
      </c>
      <c r="BZ76" s="85">
        <v>147</v>
      </c>
      <c r="CA76" s="85">
        <v>169</v>
      </c>
      <c r="CB76" s="81">
        <v>274</v>
      </c>
      <c r="CC76" s="80">
        <v>130</v>
      </c>
      <c r="CD76" s="80">
        <v>144</v>
      </c>
      <c r="CE76" s="81">
        <v>188</v>
      </c>
      <c r="CF76" s="80">
        <v>93</v>
      </c>
      <c r="CG76" s="80">
        <v>95</v>
      </c>
      <c r="CH76" s="81">
        <v>287</v>
      </c>
      <c r="CI76" s="80">
        <v>141</v>
      </c>
      <c r="CJ76" s="80">
        <v>146</v>
      </c>
      <c r="CK76" s="81">
        <v>434</v>
      </c>
      <c r="CL76" s="84">
        <v>192</v>
      </c>
      <c r="CM76" s="84">
        <v>242</v>
      </c>
      <c r="CN76" s="81">
        <v>413</v>
      </c>
      <c r="CO76" s="80">
        <v>186</v>
      </c>
      <c r="CP76" s="80">
        <v>227</v>
      </c>
      <c r="CQ76" s="81">
        <v>218</v>
      </c>
      <c r="CR76" s="80">
        <v>103</v>
      </c>
      <c r="CS76" s="80">
        <v>115</v>
      </c>
      <c r="CT76" s="81">
        <v>182</v>
      </c>
      <c r="CU76" s="80">
        <v>78</v>
      </c>
      <c r="CV76" s="80">
        <v>104</v>
      </c>
      <c r="CW76" s="81">
        <v>166</v>
      </c>
      <c r="CX76" s="80">
        <v>76</v>
      </c>
      <c r="CY76" s="80">
        <v>90</v>
      </c>
    </row>
    <row r="77" spans="1:103" ht="18.75" customHeight="1" x14ac:dyDescent="0.15">
      <c r="A77" s="87" t="s">
        <v>102</v>
      </c>
      <c r="B77" s="83">
        <v>8679</v>
      </c>
      <c r="C77" s="83">
        <v>4351</v>
      </c>
      <c r="D77" s="83">
        <v>4328</v>
      </c>
      <c r="E77" s="81">
        <v>4018</v>
      </c>
      <c r="F77" s="81">
        <v>2044</v>
      </c>
      <c r="G77" s="81">
        <v>1974</v>
      </c>
      <c r="H77" s="83">
        <v>290</v>
      </c>
      <c r="I77" s="84">
        <v>156</v>
      </c>
      <c r="J77" s="84">
        <v>134</v>
      </c>
      <c r="K77" s="83">
        <v>364</v>
      </c>
      <c r="L77" s="86">
        <v>176</v>
      </c>
      <c r="M77" s="86">
        <v>188</v>
      </c>
      <c r="N77" s="83">
        <v>291</v>
      </c>
      <c r="O77" s="81">
        <v>138</v>
      </c>
      <c r="P77" s="81">
        <v>153</v>
      </c>
      <c r="Q77" s="83">
        <v>110</v>
      </c>
      <c r="R77" s="82">
        <v>54</v>
      </c>
      <c r="S77" s="82">
        <v>56</v>
      </c>
      <c r="T77" s="83">
        <v>209</v>
      </c>
      <c r="U77" s="80">
        <v>101</v>
      </c>
      <c r="V77" s="80">
        <v>108</v>
      </c>
      <c r="W77" s="83">
        <v>390</v>
      </c>
      <c r="X77" s="84">
        <v>207</v>
      </c>
      <c r="Y77" s="84">
        <v>183</v>
      </c>
      <c r="Z77" s="83">
        <v>187</v>
      </c>
      <c r="AA77" s="84">
        <v>104</v>
      </c>
      <c r="AB77" s="84">
        <v>83</v>
      </c>
      <c r="AC77" s="83">
        <v>158</v>
      </c>
      <c r="AD77" s="81">
        <v>90</v>
      </c>
      <c r="AE77" s="81">
        <v>68</v>
      </c>
      <c r="AF77" s="83">
        <v>296</v>
      </c>
      <c r="AG77" s="80">
        <v>146</v>
      </c>
      <c r="AH77" s="80">
        <v>150</v>
      </c>
      <c r="AI77" s="83">
        <v>308</v>
      </c>
      <c r="AJ77" s="80">
        <v>165</v>
      </c>
      <c r="AK77" s="80">
        <v>143</v>
      </c>
      <c r="AL77" s="83">
        <v>557</v>
      </c>
      <c r="AM77" s="84">
        <v>281</v>
      </c>
      <c r="AN77" s="84">
        <v>276</v>
      </c>
      <c r="AO77" s="83">
        <v>252</v>
      </c>
      <c r="AP77" s="81">
        <v>119</v>
      </c>
      <c r="AQ77" s="81">
        <v>133</v>
      </c>
      <c r="AR77" s="83">
        <v>278</v>
      </c>
      <c r="AS77" s="80">
        <v>160</v>
      </c>
      <c r="AT77" s="80">
        <v>118</v>
      </c>
      <c r="AU77" s="83">
        <v>328</v>
      </c>
      <c r="AV77" s="84">
        <v>147</v>
      </c>
      <c r="AW77" s="84">
        <v>181</v>
      </c>
      <c r="AX77" s="81">
        <v>4661</v>
      </c>
      <c r="AY77" s="81">
        <v>2307</v>
      </c>
      <c r="AZ77" s="81">
        <v>2354</v>
      </c>
      <c r="BA77" s="81">
        <v>379</v>
      </c>
      <c r="BB77" s="84">
        <v>177</v>
      </c>
      <c r="BC77" s="84">
        <v>202</v>
      </c>
      <c r="BD77" s="81">
        <v>196</v>
      </c>
      <c r="BE77" s="80">
        <v>102</v>
      </c>
      <c r="BF77" s="80">
        <v>94</v>
      </c>
      <c r="BG77" s="81">
        <v>280</v>
      </c>
      <c r="BH77" s="81">
        <v>125</v>
      </c>
      <c r="BI77" s="81">
        <v>155</v>
      </c>
      <c r="BJ77" s="81">
        <v>184</v>
      </c>
      <c r="BK77" s="80">
        <v>86</v>
      </c>
      <c r="BL77" s="80">
        <v>98</v>
      </c>
      <c r="BM77" s="81">
        <v>121</v>
      </c>
      <c r="BN77" s="81">
        <v>66</v>
      </c>
      <c r="BO77" s="81">
        <v>55</v>
      </c>
      <c r="BP77" s="81">
        <v>633</v>
      </c>
      <c r="BQ77" s="80">
        <v>314</v>
      </c>
      <c r="BR77" s="80">
        <v>319</v>
      </c>
      <c r="BS77" s="81">
        <v>287</v>
      </c>
      <c r="BT77" s="80">
        <v>136</v>
      </c>
      <c r="BU77" s="80">
        <v>151</v>
      </c>
      <c r="BV77" s="81">
        <v>285</v>
      </c>
      <c r="BW77" s="80">
        <v>139</v>
      </c>
      <c r="BX77" s="80">
        <v>146</v>
      </c>
      <c r="BY77" s="81">
        <v>298</v>
      </c>
      <c r="BZ77" s="85">
        <v>152</v>
      </c>
      <c r="CA77" s="85">
        <v>146</v>
      </c>
      <c r="CB77" s="81">
        <v>234</v>
      </c>
      <c r="CC77" s="80">
        <v>129</v>
      </c>
      <c r="CD77" s="80">
        <v>105</v>
      </c>
      <c r="CE77" s="81">
        <v>174</v>
      </c>
      <c r="CF77" s="80">
        <v>90</v>
      </c>
      <c r="CG77" s="80">
        <v>84</v>
      </c>
      <c r="CH77" s="81">
        <v>274</v>
      </c>
      <c r="CI77" s="80">
        <v>148</v>
      </c>
      <c r="CJ77" s="80">
        <v>126</v>
      </c>
      <c r="CK77" s="81">
        <v>392</v>
      </c>
      <c r="CL77" s="84">
        <v>183</v>
      </c>
      <c r="CM77" s="84">
        <v>209</v>
      </c>
      <c r="CN77" s="81">
        <v>414</v>
      </c>
      <c r="CO77" s="80">
        <v>212</v>
      </c>
      <c r="CP77" s="80">
        <v>202</v>
      </c>
      <c r="CQ77" s="81">
        <v>191</v>
      </c>
      <c r="CR77" s="80">
        <v>99</v>
      </c>
      <c r="CS77" s="80">
        <v>92</v>
      </c>
      <c r="CT77" s="81">
        <v>171</v>
      </c>
      <c r="CU77" s="80">
        <v>75</v>
      </c>
      <c r="CV77" s="80">
        <v>96</v>
      </c>
      <c r="CW77" s="81">
        <v>148</v>
      </c>
      <c r="CX77" s="80">
        <v>74</v>
      </c>
      <c r="CY77" s="80">
        <v>74</v>
      </c>
    </row>
    <row r="78" spans="1:103" ht="18.75" customHeight="1" x14ac:dyDescent="0.15">
      <c r="A78" s="57" t="s">
        <v>188</v>
      </c>
      <c r="B78" s="78">
        <v>45559</v>
      </c>
      <c r="C78" s="78">
        <v>21839</v>
      </c>
      <c r="D78" s="78">
        <v>23720</v>
      </c>
      <c r="E78" s="78">
        <v>20946</v>
      </c>
      <c r="F78" s="78">
        <v>10234</v>
      </c>
      <c r="G78" s="78">
        <v>10712</v>
      </c>
      <c r="H78" s="78">
        <v>1422</v>
      </c>
      <c r="I78" s="78">
        <v>710</v>
      </c>
      <c r="J78" s="78">
        <v>712</v>
      </c>
      <c r="K78" s="78">
        <v>2009</v>
      </c>
      <c r="L78" s="78">
        <v>1007</v>
      </c>
      <c r="M78" s="78">
        <v>1002</v>
      </c>
      <c r="N78" s="78">
        <v>1528</v>
      </c>
      <c r="O78" s="78">
        <v>706</v>
      </c>
      <c r="P78" s="78">
        <v>822</v>
      </c>
      <c r="Q78" s="78">
        <v>618</v>
      </c>
      <c r="R78" s="78">
        <v>319</v>
      </c>
      <c r="S78" s="78">
        <v>299</v>
      </c>
      <c r="T78" s="78">
        <v>1184</v>
      </c>
      <c r="U78" s="78">
        <v>584</v>
      </c>
      <c r="V78" s="78">
        <v>600</v>
      </c>
      <c r="W78" s="78">
        <v>1969</v>
      </c>
      <c r="X78" s="78">
        <v>972</v>
      </c>
      <c r="Y78" s="78">
        <v>997</v>
      </c>
      <c r="Z78" s="78">
        <v>1008</v>
      </c>
      <c r="AA78" s="78">
        <v>489</v>
      </c>
      <c r="AB78" s="78">
        <v>519</v>
      </c>
      <c r="AC78" s="78">
        <v>774</v>
      </c>
      <c r="AD78" s="78">
        <v>371</v>
      </c>
      <c r="AE78" s="78">
        <v>403</v>
      </c>
      <c r="AF78" s="78">
        <v>1654</v>
      </c>
      <c r="AG78" s="78">
        <v>760</v>
      </c>
      <c r="AH78" s="78">
        <v>894</v>
      </c>
      <c r="AI78" s="78">
        <v>1642</v>
      </c>
      <c r="AJ78" s="78">
        <v>765</v>
      </c>
      <c r="AK78" s="78">
        <v>877</v>
      </c>
      <c r="AL78" s="78">
        <v>2846</v>
      </c>
      <c r="AM78" s="78">
        <v>1422</v>
      </c>
      <c r="AN78" s="78">
        <v>1424</v>
      </c>
      <c r="AO78" s="78">
        <v>1167</v>
      </c>
      <c r="AP78" s="78">
        <v>587</v>
      </c>
      <c r="AQ78" s="78">
        <v>580</v>
      </c>
      <c r="AR78" s="78">
        <v>1427</v>
      </c>
      <c r="AS78" s="78">
        <v>745</v>
      </c>
      <c r="AT78" s="78">
        <v>682</v>
      </c>
      <c r="AU78" s="78">
        <v>1698</v>
      </c>
      <c r="AV78" s="78">
        <v>797</v>
      </c>
      <c r="AW78" s="78">
        <v>901</v>
      </c>
      <c r="AX78" s="78">
        <v>24613</v>
      </c>
      <c r="AY78" s="78">
        <v>11605</v>
      </c>
      <c r="AZ78" s="78">
        <v>13008</v>
      </c>
      <c r="BA78" s="78">
        <v>2163</v>
      </c>
      <c r="BB78" s="78">
        <v>997</v>
      </c>
      <c r="BC78" s="78">
        <v>1166</v>
      </c>
      <c r="BD78" s="78">
        <v>1038</v>
      </c>
      <c r="BE78" s="78">
        <v>484</v>
      </c>
      <c r="BF78" s="78">
        <v>554</v>
      </c>
      <c r="BG78" s="78">
        <v>1641</v>
      </c>
      <c r="BH78" s="78">
        <v>801</v>
      </c>
      <c r="BI78" s="78">
        <v>840</v>
      </c>
      <c r="BJ78" s="78">
        <v>1121</v>
      </c>
      <c r="BK78" s="78">
        <v>512</v>
      </c>
      <c r="BL78" s="78">
        <v>609</v>
      </c>
      <c r="BM78" s="78">
        <v>664</v>
      </c>
      <c r="BN78" s="78">
        <v>260</v>
      </c>
      <c r="BO78" s="78">
        <v>404</v>
      </c>
      <c r="BP78" s="78">
        <v>3334</v>
      </c>
      <c r="BQ78" s="78">
        <v>1534</v>
      </c>
      <c r="BR78" s="78">
        <v>1800</v>
      </c>
      <c r="BS78" s="78">
        <v>1579</v>
      </c>
      <c r="BT78" s="78">
        <v>781</v>
      </c>
      <c r="BU78" s="78">
        <v>798</v>
      </c>
      <c r="BV78" s="78">
        <v>1613</v>
      </c>
      <c r="BW78" s="78">
        <v>734</v>
      </c>
      <c r="BX78" s="78">
        <v>879</v>
      </c>
      <c r="BY78" s="78">
        <v>1374</v>
      </c>
      <c r="BZ78" s="78">
        <v>719</v>
      </c>
      <c r="CA78" s="78">
        <v>655</v>
      </c>
      <c r="CB78" s="78">
        <v>1099</v>
      </c>
      <c r="CC78" s="78">
        <v>496</v>
      </c>
      <c r="CD78" s="78">
        <v>603</v>
      </c>
      <c r="CE78" s="78">
        <v>852</v>
      </c>
      <c r="CF78" s="78">
        <v>423</v>
      </c>
      <c r="CG78" s="78">
        <v>429</v>
      </c>
      <c r="CH78" s="78">
        <v>1352</v>
      </c>
      <c r="CI78" s="78">
        <v>632</v>
      </c>
      <c r="CJ78" s="78">
        <v>720</v>
      </c>
      <c r="CK78" s="78">
        <v>1981</v>
      </c>
      <c r="CL78" s="78">
        <v>961</v>
      </c>
      <c r="CM78" s="78">
        <v>1020</v>
      </c>
      <c r="CN78" s="78">
        <v>2082</v>
      </c>
      <c r="CO78" s="78">
        <v>994</v>
      </c>
      <c r="CP78" s="78">
        <v>1088</v>
      </c>
      <c r="CQ78" s="78">
        <v>975</v>
      </c>
      <c r="CR78" s="78">
        <v>453</v>
      </c>
      <c r="CS78" s="78">
        <v>522</v>
      </c>
      <c r="CT78" s="78">
        <v>941</v>
      </c>
      <c r="CU78" s="78">
        <v>433</v>
      </c>
      <c r="CV78" s="78">
        <v>508</v>
      </c>
      <c r="CW78" s="78">
        <v>804</v>
      </c>
      <c r="CX78" s="78">
        <v>391</v>
      </c>
      <c r="CY78" s="78">
        <v>413</v>
      </c>
    </row>
    <row r="79" spans="1:103" ht="18.75" customHeight="1" x14ac:dyDescent="0.15">
      <c r="A79" s="87" t="s">
        <v>100</v>
      </c>
      <c r="B79" s="83">
        <v>9145</v>
      </c>
      <c r="C79" s="83">
        <v>4370</v>
      </c>
      <c r="D79" s="83">
        <v>4775</v>
      </c>
      <c r="E79" s="81">
        <v>4142</v>
      </c>
      <c r="F79" s="81">
        <v>1993</v>
      </c>
      <c r="G79" s="81">
        <v>2149</v>
      </c>
      <c r="H79" s="83">
        <v>262</v>
      </c>
      <c r="I79" s="84">
        <v>125</v>
      </c>
      <c r="J79" s="84">
        <v>137</v>
      </c>
      <c r="K79" s="83">
        <v>407</v>
      </c>
      <c r="L79" s="86">
        <v>195</v>
      </c>
      <c r="M79" s="86">
        <v>212</v>
      </c>
      <c r="N79" s="83">
        <v>294</v>
      </c>
      <c r="O79" s="81">
        <v>132</v>
      </c>
      <c r="P79" s="81">
        <v>162</v>
      </c>
      <c r="Q79" s="83">
        <v>122</v>
      </c>
      <c r="R79" s="82">
        <v>59</v>
      </c>
      <c r="S79" s="82">
        <v>63</v>
      </c>
      <c r="T79" s="83">
        <v>253</v>
      </c>
      <c r="U79" s="80">
        <v>131</v>
      </c>
      <c r="V79" s="80">
        <v>122</v>
      </c>
      <c r="W79" s="83">
        <v>393</v>
      </c>
      <c r="X79" s="84">
        <v>197</v>
      </c>
      <c r="Y79" s="84">
        <v>196</v>
      </c>
      <c r="Z79" s="83">
        <v>189</v>
      </c>
      <c r="AA79" s="84">
        <v>89</v>
      </c>
      <c r="AB79" s="84">
        <v>100</v>
      </c>
      <c r="AC79" s="83">
        <v>143</v>
      </c>
      <c r="AD79" s="81">
        <v>67</v>
      </c>
      <c r="AE79" s="81">
        <v>76</v>
      </c>
      <c r="AF79" s="83">
        <v>327</v>
      </c>
      <c r="AG79" s="80">
        <v>148</v>
      </c>
      <c r="AH79" s="80">
        <v>179</v>
      </c>
      <c r="AI79" s="83">
        <v>332</v>
      </c>
      <c r="AJ79" s="80">
        <v>167</v>
      </c>
      <c r="AK79" s="80">
        <v>165</v>
      </c>
      <c r="AL79" s="83">
        <v>578</v>
      </c>
      <c r="AM79" s="84">
        <v>274</v>
      </c>
      <c r="AN79" s="84">
        <v>304</v>
      </c>
      <c r="AO79" s="83">
        <v>216</v>
      </c>
      <c r="AP79" s="81">
        <v>103</v>
      </c>
      <c r="AQ79" s="81">
        <v>113</v>
      </c>
      <c r="AR79" s="83">
        <v>293</v>
      </c>
      <c r="AS79" s="80">
        <v>155</v>
      </c>
      <c r="AT79" s="80">
        <v>138</v>
      </c>
      <c r="AU79" s="83">
        <v>333</v>
      </c>
      <c r="AV79" s="84">
        <v>151</v>
      </c>
      <c r="AW79" s="84">
        <v>182</v>
      </c>
      <c r="AX79" s="81">
        <v>5003</v>
      </c>
      <c r="AY79" s="81">
        <v>2377</v>
      </c>
      <c r="AZ79" s="81">
        <v>2626</v>
      </c>
      <c r="BA79" s="81">
        <v>437</v>
      </c>
      <c r="BB79" s="84">
        <v>195</v>
      </c>
      <c r="BC79" s="84">
        <v>242</v>
      </c>
      <c r="BD79" s="81">
        <v>212</v>
      </c>
      <c r="BE79" s="80">
        <v>107</v>
      </c>
      <c r="BF79" s="80">
        <v>105</v>
      </c>
      <c r="BG79" s="81">
        <v>365</v>
      </c>
      <c r="BH79" s="81">
        <v>181</v>
      </c>
      <c r="BI79" s="81">
        <v>184</v>
      </c>
      <c r="BJ79" s="81">
        <v>224</v>
      </c>
      <c r="BK79" s="80">
        <v>113</v>
      </c>
      <c r="BL79" s="80">
        <v>111</v>
      </c>
      <c r="BM79" s="81">
        <v>134</v>
      </c>
      <c r="BN79" s="81">
        <v>54</v>
      </c>
      <c r="BO79" s="81">
        <v>80</v>
      </c>
      <c r="BP79" s="81">
        <v>653</v>
      </c>
      <c r="BQ79" s="80">
        <v>301</v>
      </c>
      <c r="BR79" s="80">
        <v>352</v>
      </c>
      <c r="BS79" s="81">
        <v>319</v>
      </c>
      <c r="BT79" s="80">
        <v>166</v>
      </c>
      <c r="BU79" s="80">
        <v>153</v>
      </c>
      <c r="BV79" s="81">
        <v>304</v>
      </c>
      <c r="BW79" s="80">
        <v>149</v>
      </c>
      <c r="BX79" s="80">
        <v>155</v>
      </c>
      <c r="BY79" s="81">
        <v>317</v>
      </c>
      <c r="BZ79" s="85">
        <v>154</v>
      </c>
      <c r="CA79" s="85">
        <v>163</v>
      </c>
      <c r="CB79" s="81">
        <v>223</v>
      </c>
      <c r="CC79" s="80">
        <v>102</v>
      </c>
      <c r="CD79" s="80">
        <v>121</v>
      </c>
      <c r="CE79" s="81">
        <v>175</v>
      </c>
      <c r="CF79" s="80">
        <v>95</v>
      </c>
      <c r="CG79" s="80">
        <v>80</v>
      </c>
      <c r="CH79" s="81">
        <v>261</v>
      </c>
      <c r="CI79" s="80">
        <v>122</v>
      </c>
      <c r="CJ79" s="80">
        <v>139</v>
      </c>
      <c r="CK79" s="81">
        <v>398</v>
      </c>
      <c r="CL79" s="84">
        <v>178</v>
      </c>
      <c r="CM79" s="84">
        <v>220</v>
      </c>
      <c r="CN79" s="81">
        <v>434</v>
      </c>
      <c r="CO79" s="80">
        <v>212</v>
      </c>
      <c r="CP79" s="80">
        <v>222</v>
      </c>
      <c r="CQ79" s="81">
        <v>207</v>
      </c>
      <c r="CR79" s="80">
        <v>86</v>
      </c>
      <c r="CS79" s="80">
        <v>121</v>
      </c>
      <c r="CT79" s="81">
        <v>178</v>
      </c>
      <c r="CU79" s="80">
        <v>85</v>
      </c>
      <c r="CV79" s="80">
        <v>93</v>
      </c>
      <c r="CW79" s="81">
        <v>162</v>
      </c>
      <c r="CX79" s="80">
        <v>77</v>
      </c>
      <c r="CY79" s="80">
        <v>85</v>
      </c>
    </row>
    <row r="80" spans="1:103" ht="18.75" customHeight="1" x14ac:dyDescent="0.15">
      <c r="A80" s="87" t="s">
        <v>99</v>
      </c>
      <c r="B80" s="83">
        <v>9095</v>
      </c>
      <c r="C80" s="83">
        <v>4449</v>
      </c>
      <c r="D80" s="83">
        <v>4646</v>
      </c>
      <c r="E80" s="81">
        <v>4135</v>
      </c>
      <c r="F80" s="81">
        <v>2085</v>
      </c>
      <c r="G80" s="81">
        <v>2050</v>
      </c>
      <c r="H80" s="83">
        <v>291</v>
      </c>
      <c r="I80" s="84">
        <v>153</v>
      </c>
      <c r="J80" s="84">
        <v>138</v>
      </c>
      <c r="K80" s="83">
        <v>405</v>
      </c>
      <c r="L80" s="86">
        <v>223</v>
      </c>
      <c r="M80" s="86">
        <v>182</v>
      </c>
      <c r="N80" s="83">
        <v>296</v>
      </c>
      <c r="O80" s="81">
        <v>143</v>
      </c>
      <c r="P80" s="81">
        <v>153</v>
      </c>
      <c r="Q80" s="83">
        <v>128</v>
      </c>
      <c r="R80" s="82">
        <v>75</v>
      </c>
      <c r="S80" s="82">
        <v>53</v>
      </c>
      <c r="T80" s="83">
        <v>243</v>
      </c>
      <c r="U80" s="80">
        <v>120</v>
      </c>
      <c r="V80" s="80">
        <v>123</v>
      </c>
      <c r="W80" s="83">
        <v>356</v>
      </c>
      <c r="X80" s="84">
        <v>171</v>
      </c>
      <c r="Y80" s="84">
        <v>185</v>
      </c>
      <c r="Z80" s="83">
        <v>209</v>
      </c>
      <c r="AA80" s="84">
        <v>114</v>
      </c>
      <c r="AB80" s="84">
        <v>95</v>
      </c>
      <c r="AC80" s="83">
        <v>150</v>
      </c>
      <c r="AD80" s="81">
        <v>71</v>
      </c>
      <c r="AE80" s="81">
        <v>79</v>
      </c>
      <c r="AF80" s="83">
        <v>317</v>
      </c>
      <c r="AG80" s="80">
        <v>140</v>
      </c>
      <c r="AH80" s="80">
        <v>177</v>
      </c>
      <c r="AI80" s="83">
        <v>318</v>
      </c>
      <c r="AJ80" s="80">
        <v>146</v>
      </c>
      <c r="AK80" s="80">
        <v>172</v>
      </c>
      <c r="AL80" s="83">
        <v>550</v>
      </c>
      <c r="AM80" s="84">
        <v>278</v>
      </c>
      <c r="AN80" s="84">
        <v>272</v>
      </c>
      <c r="AO80" s="83">
        <v>238</v>
      </c>
      <c r="AP80" s="81">
        <v>125</v>
      </c>
      <c r="AQ80" s="81">
        <v>113</v>
      </c>
      <c r="AR80" s="83">
        <v>299</v>
      </c>
      <c r="AS80" s="80">
        <v>157</v>
      </c>
      <c r="AT80" s="80">
        <v>142</v>
      </c>
      <c r="AU80" s="83">
        <v>335</v>
      </c>
      <c r="AV80" s="84">
        <v>169</v>
      </c>
      <c r="AW80" s="84">
        <v>166</v>
      </c>
      <c r="AX80" s="81">
        <v>4960</v>
      </c>
      <c r="AY80" s="81">
        <v>2364</v>
      </c>
      <c r="AZ80" s="81">
        <v>2596</v>
      </c>
      <c r="BA80" s="81">
        <v>419</v>
      </c>
      <c r="BB80" s="84">
        <v>206</v>
      </c>
      <c r="BC80" s="84">
        <v>213</v>
      </c>
      <c r="BD80" s="81">
        <v>188</v>
      </c>
      <c r="BE80" s="80">
        <v>76</v>
      </c>
      <c r="BF80" s="80">
        <v>112</v>
      </c>
      <c r="BG80" s="81">
        <v>314</v>
      </c>
      <c r="BH80" s="81">
        <v>142</v>
      </c>
      <c r="BI80" s="81">
        <v>172</v>
      </c>
      <c r="BJ80" s="81">
        <v>215</v>
      </c>
      <c r="BK80" s="80">
        <v>103</v>
      </c>
      <c r="BL80" s="80">
        <v>112</v>
      </c>
      <c r="BM80" s="81">
        <v>133</v>
      </c>
      <c r="BN80" s="81">
        <v>53</v>
      </c>
      <c r="BO80" s="81">
        <v>80</v>
      </c>
      <c r="BP80" s="81">
        <v>664</v>
      </c>
      <c r="BQ80" s="80">
        <v>305</v>
      </c>
      <c r="BR80" s="80">
        <v>359</v>
      </c>
      <c r="BS80" s="81">
        <v>329</v>
      </c>
      <c r="BT80" s="80">
        <v>154</v>
      </c>
      <c r="BU80" s="80">
        <v>175</v>
      </c>
      <c r="BV80" s="81">
        <v>316</v>
      </c>
      <c r="BW80" s="80">
        <v>139</v>
      </c>
      <c r="BX80" s="80">
        <v>177</v>
      </c>
      <c r="BY80" s="81">
        <v>309</v>
      </c>
      <c r="BZ80" s="85">
        <v>168</v>
      </c>
      <c r="CA80" s="85">
        <v>141</v>
      </c>
      <c r="CB80" s="81">
        <v>228</v>
      </c>
      <c r="CC80" s="80">
        <v>112</v>
      </c>
      <c r="CD80" s="80">
        <v>116</v>
      </c>
      <c r="CE80" s="81">
        <v>188</v>
      </c>
      <c r="CF80" s="80">
        <v>92</v>
      </c>
      <c r="CG80" s="80">
        <v>96</v>
      </c>
      <c r="CH80" s="81">
        <v>265</v>
      </c>
      <c r="CI80" s="80">
        <v>128</v>
      </c>
      <c r="CJ80" s="80">
        <v>137</v>
      </c>
      <c r="CK80" s="81">
        <v>436</v>
      </c>
      <c r="CL80" s="84">
        <v>224</v>
      </c>
      <c r="CM80" s="84">
        <v>212</v>
      </c>
      <c r="CN80" s="81">
        <v>423</v>
      </c>
      <c r="CO80" s="80">
        <v>195</v>
      </c>
      <c r="CP80" s="80">
        <v>228</v>
      </c>
      <c r="CQ80" s="81">
        <v>208</v>
      </c>
      <c r="CR80" s="80">
        <v>112</v>
      </c>
      <c r="CS80" s="80">
        <v>96</v>
      </c>
      <c r="CT80" s="81">
        <v>165</v>
      </c>
      <c r="CU80" s="80">
        <v>71</v>
      </c>
      <c r="CV80" s="80">
        <v>94</v>
      </c>
      <c r="CW80" s="81">
        <v>160</v>
      </c>
      <c r="CX80" s="80">
        <v>84</v>
      </c>
      <c r="CY80" s="80">
        <v>76</v>
      </c>
    </row>
    <row r="81" spans="1:103" ht="18.75" customHeight="1" x14ac:dyDescent="0.15">
      <c r="A81" s="87" t="s">
        <v>98</v>
      </c>
      <c r="B81" s="83">
        <v>8305</v>
      </c>
      <c r="C81" s="83">
        <v>4017</v>
      </c>
      <c r="D81" s="83">
        <v>4288</v>
      </c>
      <c r="E81" s="81">
        <v>3829</v>
      </c>
      <c r="F81" s="81">
        <v>1885</v>
      </c>
      <c r="G81" s="81">
        <v>1944</v>
      </c>
      <c r="H81" s="83">
        <v>254</v>
      </c>
      <c r="I81" s="84">
        <v>128</v>
      </c>
      <c r="J81" s="84">
        <v>126</v>
      </c>
      <c r="K81" s="83">
        <v>370</v>
      </c>
      <c r="L81" s="86">
        <v>184</v>
      </c>
      <c r="M81" s="86">
        <v>186</v>
      </c>
      <c r="N81" s="83">
        <v>273</v>
      </c>
      <c r="O81" s="81">
        <v>128</v>
      </c>
      <c r="P81" s="81">
        <v>145</v>
      </c>
      <c r="Q81" s="83">
        <v>122</v>
      </c>
      <c r="R81" s="82">
        <v>59</v>
      </c>
      <c r="S81" s="82">
        <v>63</v>
      </c>
      <c r="T81" s="83">
        <v>197</v>
      </c>
      <c r="U81" s="80">
        <v>98</v>
      </c>
      <c r="V81" s="80">
        <v>99</v>
      </c>
      <c r="W81" s="83">
        <v>378</v>
      </c>
      <c r="X81" s="84">
        <v>177</v>
      </c>
      <c r="Y81" s="84">
        <v>201</v>
      </c>
      <c r="Z81" s="83">
        <v>202</v>
      </c>
      <c r="AA81" s="84">
        <v>102</v>
      </c>
      <c r="AB81" s="84">
        <v>100</v>
      </c>
      <c r="AC81" s="83">
        <v>144</v>
      </c>
      <c r="AD81" s="81">
        <v>72</v>
      </c>
      <c r="AE81" s="81">
        <v>72</v>
      </c>
      <c r="AF81" s="83">
        <v>293</v>
      </c>
      <c r="AG81" s="80">
        <v>144</v>
      </c>
      <c r="AH81" s="80">
        <v>149</v>
      </c>
      <c r="AI81" s="83">
        <v>310</v>
      </c>
      <c r="AJ81" s="80">
        <v>148</v>
      </c>
      <c r="AK81" s="80">
        <v>162</v>
      </c>
      <c r="AL81" s="83">
        <v>506</v>
      </c>
      <c r="AM81" s="84">
        <v>252</v>
      </c>
      <c r="AN81" s="84">
        <v>254</v>
      </c>
      <c r="AO81" s="83">
        <v>216</v>
      </c>
      <c r="AP81" s="81">
        <v>116</v>
      </c>
      <c r="AQ81" s="81">
        <v>100</v>
      </c>
      <c r="AR81" s="83">
        <v>248</v>
      </c>
      <c r="AS81" s="80">
        <v>132</v>
      </c>
      <c r="AT81" s="80">
        <v>116</v>
      </c>
      <c r="AU81" s="83">
        <v>316</v>
      </c>
      <c r="AV81" s="84">
        <v>145</v>
      </c>
      <c r="AW81" s="84">
        <v>171</v>
      </c>
      <c r="AX81" s="81">
        <v>4476</v>
      </c>
      <c r="AY81" s="81">
        <v>2132</v>
      </c>
      <c r="AZ81" s="81">
        <v>2344</v>
      </c>
      <c r="BA81" s="81">
        <v>397</v>
      </c>
      <c r="BB81" s="84">
        <v>179</v>
      </c>
      <c r="BC81" s="84">
        <v>218</v>
      </c>
      <c r="BD81" s="81">
        <v>198</v>
      </c>
      <c r="BE81" s="80">
        <v>91</v>
      </c>
      <c r="BF81" s="80">
        <v>107</v>
      </c>
      <c r="BG81" s="81">
        <v>288</v>
      </c>
      <c r="BH81" s="81">
        <v>139</v>
      </c>
      <c r="BI81" s="81">
        <v>149</v>
      </c>
      <c r="BJ81" s="81">
        <v>184</v>
      </c>
      <c r="BK81" s="80">
        <v>82</v>
      </c>
      <c r="BL81" s="80">
        <v>102</v>
      </c>
      <c r="BM81" s="81">
        <v>115</v>
      </c>
      <c r="BN81" s="81">
        <v>45</v>
      </c>
      <c r="BO81" s="81">
        <v>70</v>
      </c>
      <c r="BP81" s="81">
        <v>624</v>
      </c>
      <c r="BQ81" s="80">
        <v>295</v>
      </c>
      <c r="BR81" s="80">
        <v>329</v>
      </c>
      <c r="BS81" s="81">
        <v>282</v>
      </c>
      <c r="BT81" s="80">
        <v>140</v>
      </c>
      <c r="BU81" s="80">
        <v>142</v>
      </c>
      <c r="BV81" s="81">
        <v>289</v>
      </c>
      <c r="BW81" s="80">
        <v>131</v>
      </c>
      <c r="BX81" s="80">
        <v>158</v>
      </c>
      <c r="BY81" s="81">
        <v>254</v>
      </c>
      <c r="BZ81" s="85">
        <v>137</v>
      </c>
      <c r="CA81" s="85">
        <v>117</v>
      </c>
      <c r="CB81" s="81">
        <v>199</v>
      </c>
      <c r="CC81" s="80">
        <v>86</v>
      </c>
      <c r="CD81" s="80">
        <v>113</v>
      </c>
      <c r="CE81" s="81">
        <v>164</v>
      </c>
      <c r="CF81" s="80">
        <v>78</v>
      </c>
      <c r="CG81" s="80">
        <v>86</v>
      </c>
      <c r="CH81" s="81">
        <v>232</v>
      </c>
      <c r="CI81" s="80">
        <v>103</v>
      </c>
      <c r="CJ81" s="80">
        <v>129</v>
      </c>
      <c r="CK81" s="81">
        <v>347</v>
      </c>
      <c r="CL81" s="84">
        <v>170</v>
      </c>
      <c r="CM81" s="84">
        <v>177</v>
      </c>
      <c r="CN81" s="81">
        <v>381</v>
      </c>
      <c r="CO81" s="80">
        <v>188</v>
      </c>
      <c r="CP81" s="80">
        <v>193</v>
      </c>
      <c r="CQ81" s="81">
        <v>191</v>
      </c>
      <c r="CR81" s="80">
        <v>96</v>
      </c>
      <c r="CS81" s="80">
        <v>95</v>
      </c>
      <c r="CT81" s="81">
        <v>185</v>
      </c>
      <c r="CU81" s="80">
        <v>92</v>
      </c>
      <c r="CV81" s="80">
        <v>93</v>
      </c>
      <c r="CW81" s="81">
        <v>146</v>
      </c>
      <c r="CX81" s="80">
        <v>80</v>
      </c>
      <c r="CY81" s="80">
        <v>66</v>
      </c>
    </row>
    <row r="82" spans="1:103" ht="18.75" customHeight="1" x14ac:dyDescent="0.15">
      <c r="A82" s="87" t="s">
        <v>97</v>
      </c>
      <c r="B82" s="83">
        <v>9452</v>
      </c>
      <c r="C82" s="83">
        <v>4508</v>
      </c>
      <c r="D82" s="83">
        <v>4944</v>
      </c>
      <c r="E82" s="81">
        <v>4371</v>
      </c>
      <c r="F82" s="81">
        <v>2138</v>
      </c>
      <c r="G82" s="81">
        <v>2233</v>
      </c>
      <c r="H82" s="83">
        <v>326</v>
      </c>
      <c r="I82" s="84">
        <v>157</v>
      </c>
      <c r="J82" s="84">
        <v>169</v>
      </c>
      <c r="K82" s="83">
        <v>411</v>
      </c>
      <c r="L82" s="86">
        <v>202</v>
      </c>
      <c r="M82" s="86">
        <v>209</v>
      </c>
      <c r="N82" s="83">
        <v>332</v>
      </c>
      <c r="O82" s="81">
        <v>159</v>
      </c>
      <c r="P82" s="81">
        <v>173</v>
      </c>
      <c r="Q82" s="83">
        <v>125</v>
      </c>
      <c r="R82" s="82">
        <v>63</v>
      </c>
      <c r="S82" s="82">
        <v>62</v>
      </c>
      <c r="T82" s="83">
        <v>240</v>
      </c>
      <c r="U82" s="80">
        <v>123</v>
      </c>
      <c r="V82" s="80">
        <v>117</v>
      </c>
      <c r="W82" s="83">
        <v>394</v>
      </c>
      <c r="X82" s="84">
        <v>211</v>
      </c>
      <c r="Y82" s="84">
        <v>183</v>
      </c>
      <c r="Z82" s="83">
        <v>202</v>
      </c>
      <c r="AA82" s="84">
        <v>93</v>
      </c>
      <c r="AB82" s="84">
        <v>109</v>
      </c>
      <c r="AC82" s="83">
        <v>155</v>
      </c>
      <c r="AD82" s="81">
        <v>70</v>
      </c>
      <c r="AE82" s="81">
        <v>85</v>
      </c>
      <c r="AF82" s="83">
        <v>367</v>
      </c>
      <c r="AG82" s="80">
        <v>169</v>
      </c>
      <c r="AH82" s="80">
        <v>198</v>
      </c>
      <c r="AI82" s="83">
        <v>341</v>
      </c>
      <c r="AJ82" s="80">
        <v>147</v>
      </c>
      <c r="AK82" s="80">
        <v>194</v>
      </c>
      <c r="AL82" s="83">
        <v>619</v>
      </c>
      <c r="AM82" s="84">
        <v>334</v>
      </c>
      <c r="AN82" s="84">
        <v>285</v>
      </c>
      <c r="AO82" s="83">
        <v>235</v>
      </c>
      <c r="AP82" s="81">
        <v>113</v>
      </c>
      <c r="AQ82" s="81">
        <v>122</v>
      </c>
      <c r="AR82" s="83">
        <v>283</v>
      </c>
      <c r="AS82" s="80">
        <v>137</v>
      </c>
      <c r="AT82" s="80">
        <v>146</v>
      </c>
      <c r="AU82" s="83">
        <v>341</v>
      </c>
      <c r="AV82" s="84">
        <v>160</v>
      </c>
      <c r="AW82" s="84">
        <v>181</v>
      </c>
      <c r="AX82" s="81">
        <v>5081</v>
      </c>
      <c r="AY82" s="81">
        <v>2370</v>
      </c>
      <c r="AZ82" s="81">
        <v>2711</v>
      </c>
      <c r="BA82" s="81">
        <v>461</v>
      </c>
      <c r="BB82" s="84">
        <v>214</v>
      </c>
      <c r="BC82" s="84">
        <v>247</v>
      </c>
      <c r="BD82" s="81">
        <v>219</v>
      </c>
      <c r="BE82" s="80">
        <v>113</v>
      </c>
      <c r="BF82" s="80">
        <v>106</v>
      </c>
      <c r="BG82" s="81">
        <v>331</v>
      </c>
      <c r="BH82" s="81">
        <v>165</v>
      </c>
      <c r="BI82" s="81">
        <v>166</v>
      </c>
      <c r="BJ82" s="81">
        <v>253</v>
      </c>
      <c r="BK82" s="80">
        <v>103</v>
      </c>
      <c r="BL82" s="80">
        <v>150</v>
      </c>
      <c r="BM82" s="81">
        <v>149</v>
      </c>
      <c r="BN82" s="81">
        <v>58</v>
      </c>
      <c r="BO82" s="81">
        <v>91</v>
      </c>
      <c r="BP82" s="81">
        <v>698</v>
      </c>
      <c r="BQ82" s="80">
        <v>320</v>
      </c>
      <c r="BR82" s="80">
        <v>378</v>
      </c>
      <c r="BS82" s="81">
        <v>329</v>
      </c>
      <c r="BT82" s="80">
        <v>155</v>
      </c>
      <c r="BU82" s="80">
        <v>174</v>
      </c>
      <c r="BV82" s="81">
        <v>349</v>
      </c>
      <c r="BW82" s="80">
        <v>161</v>
      </c>
      <c r="BX82" s="80">
        <v>188</v>
      </c>
      <c r="BY82" s="81">
        <v>251</v>
      </c>
      <c r="BZ82" s="85">
        <v>118</v>
      </c>
      <c r="CA82" s="85">
        <v>133</v>
      </c>
      <c r="CB82" s="81">
        <v>217</v>
      </c>
      <c r="CC82" s="80">
        <v>93</v>
      </c>
      <c r="CD82" s="80">
        <v>124</v>
      </c>
      <c r="CE82" s="81">
        <v>163</v>
      </c>
      <c r="CF82" s="80">
        <v>82</v>
      </c>
      <c r="CG82" s="80">
        <v>81</v>
      </c>
      <c r="CH82" s="81">
        <v>299</v>
      </c>
      <c r="CI82" s="80">
        <v>140</v>
      </c>
      <c r="CJ82" s="80">
        <v>159</v>
      </c>
      <c r="CK82" s="81">
        <v>401</v>
      </c>
      <c r="CL82" s="84">
        <v>204</v>
      </c>
      <c r="CM82" s="84">
        <v>197</v>
      </c>
      <c r="CN82" s="81">
        <v>417</v>
      </c>
      <c r="CO82" s="80">
        <v>186</v>
      </c>
      <c r="CP82" s="80">
        <v>231</v>
      </c>
      <c r="CQ82" s="81">
        <v>187</v>
      </c>
      <c r="CR82" s="80">
        <v>83</v>
      </c>
      <c r="CS82" s="80">
        <v>104</v>
      </c>
      <c r="CT82" s="81">
        <v>198</v>
      </c>
      <c r="CU82" s="80">
        <v>92</v>
      </c>
      <c r="CV82" s="80">
        <v>106</v>
      </c>
      <c r="CW82" s="81">
        <v>159</v>
      </c>
      <c r="CX82" s="80">
        <v>83</v>
      </c>
      <c r="CY82" s="80">
        <v>76</v>
      </c>
    </row>
    <row r="83" spans="1:103" ht="18.75" customHeight="1" x14ac:dyDescent="0.15">
      <c r="A83" s="87" t="s">
        <v>96</v>
      </c>
      <c r="B83" s="83">
        <v>9562</v>
      </c>
      <c r="C83" s="83">
        <v>4495</v>
      </c>
      <c r="D83" s="83">
        <v>5067</v>
      </c>
      <c r="E83" s="81">
        <v>4469</v>
      </c>
      <c r="F83" s="81">
        <v>2133</v>
      </c>
      <c r="G83" s="81">
        <v>2336</v>
      </c>
      <c r="H83" s="83">
        <v>289</v>
      </c>
      <c r="I83" s="84">
        <v>147</v>
      </c>
      <c r="J83" s="84">
        <v>142</v>
      </c>
      <c r="K83" s="83">
        <v>416</v>
      </c>
      <c r="L83" s="86">
        <v>203</v>
      </c>
      <c r="M83" s="86">
        <v>213</v>
      </c>
      <c r="N83" s="83">
        <v>333</v>
      </c>
      <c r="O83" s="81">
        <v>144</v>
      </c>
      <c r="P83" s="81">
        <v>189</v>
      </c>
      <c r="Q83" s="83">
        <v>121</v>
      </c>
      <c r="R83" s="82">
        <v>63</v>
      </c>
      <c r="S83" s="82">
        <v>58</v>
      </c>
      <c r="T83" s="83">
        <v>251</v>
      </c>
      <c r="U83" s="80">
        <v>112</v>
      </c>
      <c r="V83" s="80">
        <v>139</v>
      </c>
      <c r="W83" s="83">
        <v>448</v>
      </c>
      <c r="X83" s="84">
        <v>216</v>
      </c>
      <c r="Y83" s="84">
        <v>232</v>
      </c>
      <c r="Z83" s="83">
        <v>206</v>
      </c>
      <c r="AA83" s="84">
        <v>91</v>
      </c>
      <c r="AB83" s="84">
        <v>115</v>
      </c>
      <c r="AC83" s="83">
        <v>182</v>
      </c>
      <c r="AD83" s="81">
        <v>91</v>
      </c>
      <c r="AE83" s="81">
        <v>91</v>
      </c>
      <c r="AF83" s="83">
        <v>350</v>
      </c>
      <c r="AG83" s="80">
        <v>159</v>
      </c>
      <c r="AH83" s="80">
        <v>191</v>
      </c>
      <c r="AI83" s="83">
        <v>341</v>
      </c>
      <c r="AJ83" s="80">
        <v>157</v>
      </c>
      <c r="AK83" s="80">
        <v>184</v>
      </c>
      <c r="AL83" s="83">
        <v>593</v>
      </c>
      <c r="AM83" s="84">
        <v>284</v>
      </c>
      <c r="AN83" s="84">
        <v>309</v>
      </c>
      <c r="AO83" s="83">
        <v>262</v>
      </c>
      <c r="AP83" s="81">
        <v>130</v>
      </c>
      <c r="AQ83" s="81">
        <v>132</v>
      </c>
      <c r="AR83" s="83">
        <v>304</v>
      </c>
      <c r="AS83" s="80">
        <v>164</v>
      </c>
      <c r="AT83" s="80">
        <v>140</v>
      </c>
      <c r="AU83" s="83">
        <v>373</v>
      </c>
      <c r="AV83" s="84">
        <v>172</v>
      </c>
      <c r="AW83" s="84">
        <v>201</v>
      </c>
      <c r="AX83" s="81">
        <v>5093</v>
      </c>
      <c r="AY83" s="81">
        <v>2362</v>
      </c>
      <c r="AZ83" s="81">
        <v>2731</v>
      </c>
      <c r="BA83" s="81">
        <v>449</v>
      </c>
      <c r="BB83" s="84">
        <v>203</v>
      </c>
      <c r="BC83" s="84">
        <v>246</v>
      </c>
      <c r="BD83" s="81">
        <v>221</v>
      </c>
      <c r="BE83" s="80">
        <v>97</v>
      </c>
      <c r="BF83" s="80">
        <v>124</v>
      </c>
      <c r="BG83" s="81">
        <v>343</v>
      </c>
      <c r="BH83" s="81">
        <v>174</v>
      </c>
      <c r="BI83" s="81">
        <v>169</v>
      </c>
      <c r="BJ83" s="81">
        <v>245</v>
      </c>
      <c r="BK83" s="80">
        <v>111</v>
      </c>
      <c r="BL83" s="80">
        <v>134</v>
      </c>
      <c r="BM83" s="81">
        <v>133</v>
      </c>
      <c r="BN83" s="81">
        <v>50</v>
      </c>
      <c r="BO83" s="81">
        <v>83</v>
      </c>
      <c r="BP83" s="81">
        <v>695</v>
      </c>
      <c r="BQ83" s="80">
        <v>313</v>
      </c>
      <c r="BR83" s="80">
        <v>382</v>
      </c>
      <c r="BS83" s="81">
        <v>320</v>
      </c>
      <c r="BT83" s="80">
        <v>166</v>
      </c>
      <c r="BU83" s="80">
        <v>154</v>
      </c>
      <c r="BV83" s="81">
        <v>355</v>
      </c>
      <c r="BW83" s="80">
        <v>154</v>
      </c>
      <c r="BX83" s="80">
        <v>201</v>
      </c>
      <c r="BY83" s="81">
        <v>243</v>
      </c>
      <c r="BZ83" s="85">
        <v>142</v>
      </c>
      <c r="CA83" s="85">
        <v>101</v>
      </c>
      <c r="CB83" s="81">
        <v>232</v>
      </c>
      <c r="CC83" s="80">
        <v>103</v>
      </c>
      <c r="CD83" s="80">
        <v>129</v>
      </c>
      <c r="CE83" s="81">
        <v>162</v>
      </c>
      <c r="CF83" s="80">
        <v>76</v>
      </c>
      <c r="CG83" s="80">
        <v>86</v>
      </c>
      <c r="CH83" s="81">
        <v>295</v>
      </c>
      <c r="CI83" s="80">
        <v>139</v>
      </c>
      <c r="CJ83" s="80">
        <v>156</v>
      </c>
      <c r="CK83" s="81">
        <v>399</v>
      </c>
      <c r="CL83" s="84">
        <v>185</v>
      </c>
      <c r="CM83" s="84">
        <v>214</v>
      </c>
      <c r="CN83" s="81">
        <v>427</v>
      </c>
      <c r="CO83" s="80">
        <v>213</v>
      </c>
      <c r="CP83" s="80">
        <v>214</v>
      </c>
      <c r="CQ83" s="81">
        <v>182</v>
      </c>
      <c r="CR83" s="80">
        <v>76</v>
      </c>
      <c r="CS83" s="80">
        <v>106</v>
      </c>
      <c r="CT83" s="81">
        <v>215</v>
      </c>
      <c r="CU83" s="80">
        <v>93</v>
      </c>
      <c r="CV83" s="80">
        <v>122</v>
      </c>
      <c r="CW83" s="81">
        <v>177</v>
      </c>
      <c r="CX83" s="80">
        <v>67</v>
      </c>
      <c r="CY83" s="80">
        <v>110</v>
      </c>
    </row>
    <row r="84" spans="1:103" ht="18.75" customHeight="1" x14ac:dyDescent="0.15">
      <c r="A84" s="57" t="s">
        <v>187</v>
      </c>
      <c r="B84" s="78">
        <v>41191</v>
      </c>
      <c r="C84" s="78">
        <v>19770</v>
      </c>
      <c r="D84" s="78">
        <v>21421</v>
      </c>
      <c r="E84" s="78">
        <v>19467</v>
      </c>
      <c r="F84" s="78">
        <v>9345</v>
      </c>
      <c r="G84" s="78">
        <v>10122</v>
      </c>
      <c r="H84" s="78">
        <v>1270</v>
      </c>
      <c r="I84" s="78">
        <v>597</v>
      </c>
      <c r="J84" s="78">
        <v>673</v>
      </c>
      <c r="K84" s="78">
        <v>1856</v>
      </c>
      <c r="L84" s="78">
        <v>906</v>
      </c>
      <c r="M84" s="78">
        <v>950</v>
      </c>
      <c r="N84" s="78">
        <v>1493</v>
      </c>
      <c r="O84" s="78">
        <v>693</v>
      </c>
      <c r="P84" s="78">
        <v>800</v>
      </c>
      <c r="Q84" s="78">
        <v>585</v>
      </c>
      <c r="R84" s="78">
        <v>279</v>
      </c>
      <c r="S84" s="78">
        <v>306</v>
      </c>
      <c r="T84" s="78">
        <v>1099</v>
      </c>
      <c r="U84" s="78">
        <v>509</v>
      </c>
      <c r="V84" s="78">
        <v>590</v>
      </c>
      <c r="W84" s="78">
        <v>1866</v>
      </c>
      <c r="X84" s="78">
        <v>884</v>
      </c>
      <c r="Y84" s="78">
        <v>982</v>
      </c>
      <c r="Z84" s="78">
        <v>821</v>
      </c>
      <c r="AA84" s="78">
        <v>379</v>
      </c>
      <c r="AB84" s="78">
        <v>442</v>
      </c>
      <c r="AC84" s="78">
        <v>844</v>
      </c>
      <c r="AD84" s="78">
        <v>388</v>
      </c>
      <c r="AE84" s="78">
        <v>456</v>
      </c>
      <c r="AF84" s="78">
        <v>1614</v>
      </c>
      <c r="AG84" s="78">
        <v>755</v>
      </c>
      <c r="AH84" s="78">
        <v>859</v>
      </c>
      <c r="AI84" s="78">
        <v>1645</v>
      </c>
      <c r="AJ84" s="78">
        <v>809</v>
      </c>
      <c r="AK84" s="78">
        <v>836</v>
      </c>
      <c r="AL84" s="78">
        <v>2403</v>
      </c>
      <c r="AM84" s="78">
        <v>1202</v>
      </c>
      <c r="AN84" s="78">
        <v>1201</v>
      </c>
      <c r="AO84" s="78">
        <v>1102</v>
      </c>
      <c r="AP84" s="78">
        <v>563</v>
      </c>
      <c r="AQ84" s="78">
        <v>539</v>
      </c>
      <c r="AR84" s="78">
        <v>1329</v>
      </c>
      <c r="AS84" s="78">
        <v>622</v>
      </c>
      <c r="AT84" s="78">
        <v>707</v>
      </c>
      <c r="AU84" s="78">
        <v>1540</v>
      </c>
      <c r="AV84" s="78">
        <v>759</v>
      </c>
      <c r="AW84" s="78">
        <v>781</v>
      </c>
      <c r="AX84" s="78">
        <v>21724</v>
      </c>
      <c r="AY84" s="78">
        <v>10425</v>
      </c>
      <c r="AZ84" s="78">
        <v>11299</v>
      </c>
      <c r="BA84" s="78">
        <v>2016</v>
      </c>
      <c r="BB84" s="78">
        <v>951</v>
      </c>
      <c r="BC84" s="78">
        <v>1065</v>
      </c>
      <c r="BD84" s="78">
        <v>862</v>
      </c>
      <c r="BE84" s="78">
        <v>431</v>
      </c>
      <c r="BF84" s="78">
        <v>431</v>
      </c>
      <c r="BG84" s="78">
        <v>1438</v>
      </c>
      <c r="BH84" s="78">
        <v>699</v>
      </c>
      <c r="BI84" s="78">
        <v>739</v>
      </c>
      <c r="BJ84" s="78">
        <v>1108</v>
      </c>
      <c r="BK84" s="78">
        <v>479</v>
      </c>
      <c r="BL84" s="78">
        <v>629</v>
      </c>
      <c r="BM84" s="78">
        <v>700</v>
      </c>
      <c r="BN84" s="78">
        <v>275</v>
      </c>
      <c r="BO84" s="78">
        <v>425</v>
      </c>
      <c r="BP84" s="78">
        <v>2938</v>
      </c>
      <c r="BQ84" s="78">
        <v>1408</v>
      </c>
      <c r="BR84" s="78">
        <v>1530</v>
      </c>
      <c r="BS84" s="78">
        <v>1251</v>
      </c>
      <c r="BT84" s="78">
        <v>631</v>
      </c>
      <c r="BU84" s="78">
        <v>620</v>
      </c>
      <c r="BV84" s="78">
        <v>1415</v>
      </c>
      <c r="BW84" s="78">
        <v>658</v>
      </c>
      <c r="BX84" s="78">
        <v>757</v>
      </c>
      <c r="BY84" s="78">
        <v>917</v>
      </c>
      <c r="BZ84" s="78">
        <v>464</v>
      </c>
      <c r="CA84" s="78">
        <v>453</v>
      </c>
      <c r="CB84" s="78">
        <v>1080</v>
      </c>
      <c r="CC84" s="78">
        <v>514</v>
      </c>
      <c r="CD84" s="78">
        <v>566</v>
      </c>
      <c r="CE84" s="78">
        <v>665</v>
      </c>
      <c r="CF84" s="78">
        <v>327</v>
      </c>
      <c r="CG84" s="78">
        <v>338</v>
      </c>
      <c r="CH84" s="78">
        <v>1160</v>
      </c>
      <c r="CI84" s="78">
        <v>567</v>
      </c>
      <c r="CJ84" s="78">
        <v>593</v>
      </c>
      <c r="CK84" s="78">
        <v>1855</v>
      </c>
      <c r="CL84" s="78">
        <v>876</v>
      </c>
      <c r="CM84" s="78">
        <v>979</v>
      </c>
      <c r="CN84" s="78">
        <v>1851</v>
      </c>
      <c r="CO84" s="78">
        <v>937</v>
      </c>
      <c r="CP84" s="78">
        <v>914</v>
      </c>
      <c r="CQ84" s="78">
        <v>821</v>
      </c>
      <c r="CR84" s="78">
        <v>413</v>
      </c>
      <c r="CS84" s="78">
        <v>408</v>
      </c>
      <c r="CT84" s="78">
        <v>870</v>
      </c>
      <c r="CU84" s="78">
        <v>427</v>
      </c>
      <c r="CV84" s="78">
        <v>443</v>
      </c>
      <c r="CW84" s="78">
        <v>777</v>
      </c>
      <c r="CX84" s="78">
        <v>368</v>
      </c>
      <c r="CY84" s="78">
        <v>409</v>
      </c>
    </row>
    <row r="85" spans="1:103" ht="18.75" customHeight="1" x14ac:dyDescent="0.15">
      <c r="A85" s="87" t="s">
        <v>94</v>
      </c>
      <c r="B85" s="83">
        <v>9953</v>
      </c>
      <c r="C85" s="83">
        <v>4725</v>
      </c>
      <c r="D85" s="83">
        <v>5228</v>
      </c>
      <c r="E85" s="81">
        <v>4695</v>
      </c>
      <c r="F85" s="81">
        <v>2253</v>
      </c>
      <c r="G85" s="81">
        <v>2442</v>
      </c>
      <c r="H85" s="83">
        <v>316</v>
      </c>
      <c r="I85" s="84">
        <v>139</v>
      </c>
      <c r="J85" s="84">
        <v>177</v>
      </c>
      <c r="K85" s="83">
        <v>441</v>
      </c>
      <c r="L85" s="86">
        <v>218</v>
      </c>
      <c r="M85" s="86">
        <v>223</v>
      </c>
      <c r="N85" s="83">
        <v>341</v>
      </c>
      <c r="O85" s="81">
        <v>159</v>
      </c>
      <c r="P85" s="81">
        <v>182</v>
      </c>
      <c r="Q85" s="83">
        <v>133</v>
      </c>
      <c r="R85" s="82">
        <v>62</v>
      </c>
      <c r="S85" s="82">
        <v>71</v>
      </c>
      <c r="T85" s="83">
        <v>269</v>
      </c>
      <c r="U85" s="80">
        <v>140</v>
      </c>
      <c r="V85" s="80">
        <v>129</v>
      </c>
      <c r="W85" s="83">
        <v>459</v>
      </c>
      <c r="X85" s="84">
        <v>221</v>
      </c>
      <c r="Y85" s="84">
        <v>238</v>
      </c>
      <c r="Z85" s="83">
        <v>201</v>
      </c>
      <c r="AA85" s="84">
        <v>92</v>
      </c>
      <c r="AB85" s="84">
        <v>109</v>
      </c>
      <c r="AC85" s="83">
        <v>183</v>
      </c>
      <c r="AD85" s="81">
        <v>77</v>
      </c>
      <c r="AE85" s="81">
        <v>106</v>
      </c>
      <c r="AF85" s="83">
        <v>400</v>
      </c>
      <c r="AG85" s="80">
        <v>191</v>
      </c>
      <c r="AH85" s="80">
        <v>209</v>
      </c>
      <c r="AI85" s="83">
        <v>380</v>
      </c>
      <c r="AJ85" s="80">
        <v>182</v>
      </c>
      <c r="AK85" s="80">
        <v>198</v>
      </c>
      <c r="AL85" s="83">
        <v>640</v>
      </c>
      <c r="AM85" s="84">
        <v>325</v>
      </c>
      <c r="AN85" s="84">
        <v>315</v>
      </c>
      <c r="AO85" s="83">
        <v>237</v>
      </c>
      <c r="AP85" s="81">
        <v>124</v>
      </c>
      <c r="AQ85" s="81">
        <v>113</v>
      </c>
      <c r="AR85" s="83">
        <v>313</v>
      </c>
      <c r="AS85" s="80">
        <v>141</v>
      </c>
      <c r="AT85" s="80">
        <v>172</v>
      </c>
      <c r="AU85" s="83">
        <v>382</v>
      </c>
      <c r="AV85" s="84">
        <v>182</v>
      </c>
      <c r="AW85" s="84">
        <v>200</v>
      </c>
      <c r="AX85" s="81">
        <v>5258</v>
      </c>
      <c r="AY85" s="81">
        <v>2472</v>
      </c>
      <c r="AZ85" s="81">
        <v>2786</v>
      </c>
      <c r="BA85" s="81">
        <v>469</v>
      </c>
      <c r="BB85" s="84">
        <v>219</v>
      </c>
      <c r="BC85" s="84">
        <v>250</v>
      </c>
      <c r="BD85" s="81">
        <v>220</v>
      </c>
      <c r="BE85" s="80">
        <v>113</v>
      </c>
      <c r="BF85" s="80">
        <v>107</v>
      </c>
      <c r="BG85" s="81">
        <v>358</v>
      </c>
      <c r="BH85" s="81">
        <v>155</v>
      </c>
      <c r="BI85" s="81">
        <v>203</v>
      </c>
      <c r="BJ85" s="81">
        <v>240</v>
      </c>
      <c r="BK85" s="80">
        <v>106</v>
      </c>
      <c r="BL85" s="80">
        <v>134</v>
      </c>
      <c r="BM85" s="81">
        <v>154</v>
      </c>
      <c r="BN85" s="81">
        <v>56</v>
      </c>
      <c r="BO85" s="81">
        <v>98</v>
      </c>
      <c r="BP85" s="81">
        <v>705</v>
      </c>
      <c r="BQ85" s="80">
        <v>344</v>
      </c>
      <c r="BR85" s="80">
        <v>361</v>
      </c>
      <c r="BS85" s="81">
        <v>330</v>
      </c>
      <c r="BT85" s="80">
        <v>165</v>
      </c>
      <c r="BU85" s="80">
        <v>165</v>
      </c>
      <c r="BV85" s="81">
        <v>367</v>
      </c>
      <c r="BW85" s="80">
        <v>160</v>
      </c>
      <c r="BX85" s="80">
        <v>207</v>
      </c>
      <c r="BY85" s="81">
        <v>241</v>
      </c>
      <c r="BZ85" s="85">
        <v>125</v>
      </c>
      <c r="CA85" s="85">
        <v>116</v>
      </c>
      <c r="CB85" s="81">
        <v>255</v>
      </c>
      <c r="CC85" s="80">
        <v>123</v>
      </c>
      <c r="CD85" s="80">
        <v>132</v>
      </c>
      <c r="CE85" s="81">
        <v>172</v>
      </c>
      <c r="CF85" s="80">
        <v>83</v>
      </c>
      <c r="CG85" s="80">
        <v>89</v>
      </c>
      <c r="CH85" s="81">
        <v>293</v>
      </c>
      <c r="CI85" s="80">
        <v>136</v>
      </c>
      <c r="CJ85" s="80">
        <v>157</v>
      </c>
      <c r="CK85" s="81">
        <v>448</v>
      </c>
      <c r="CL85" s="84">
        <v>203</v>
      </c>
      <c r="CM85" s="84">
        <v>245</v>
      </c>
      <c r="CN85" s="81">
        <v>438</v>
      </c>
      <c r="CO85" s="80">
        <v>228</v>
      </c>
      <c r="CP85" s="80">
        <v>210</v>
      </c>
      <c r="CQ85" s="81">
        <v>211</v>
      </c>
      <c r="CR85" s="80">
        <v>99</v>
      </c>
      <c r="CS85" s="80">
        <v>112</v>
      </c>
      <c r="CT85" s="81">
        <v>185</v>
      </c>
      <c r="CU85" s="80">
        <v>86</v>
      </c>
      <c r="CV85" s="80">
        <v>99</v>
      </c>
      <c r="CW85" s="81">
        <v>172</v>
      </c>
      <c r="CX85" s="80">
        <v>71</v>
      </c>
      <c r="CY85" s="80">
        <v>101</v>
      </c>
    </row>
    <row r="86" spans="1:103" ht="18.75" customHeight="1" x14ac:dyDescent="0.15">
      <c r="A86" s="87" t="s">
        <v>93</v>
      </c>
      <c r="B86" s="83">
        <v>8821</v>
      </c>
      <c r="C86" s="83">
        <v>4225</v>
      </c>
      <c r="D86" s="83">
        <v>4596</v>
      </c>
      <c r="E86" s="81">
        <v>4177</v>
      </c>
      <c r="F86" s="81">
        <v>1981</v>
      </c>
      <c r="G86" s="81">
        <v>2196</v>
      </c>
      <c r="H86" s="83">
        <v>276</v>
      </c>
      <c r="I86" s="84">
        <v>131</v>
      </c>
      <c r="J86" s="84">
        <v>145</v>
      </c>
      <c r="K86" s="83">
        <v>395</v>
      </c>
      <c r="L86" s="86">
        <v>190</v>
      </c>
      <c r="M86" s="86">
        <v>205</v>
      </c>
      <c r="N86" s="83">
        <v>304</v>
      </c>
      <c r="O86" s="81">
        <v>134</v>
      </c>
      <c r="P86" s="81">
        <v>170</v>
      </c>
      <c r="Q86" s="83">
        <v>122</v>
      </c>
      <c r="R86" s="82">
        <v>53</v>
      </c>
      <c r="S86" s="82">
        <v>69</v>
      </c>
      <c r="T86" s="83">
        <v>243</v>
      </c>
      <c r="U86" s="80">
        <v>108</v>
      </c>
      <c r="V86" s="80">
        <v>135</v>
      </c>
      <c r="W86" s="83">
        <v>403</v>
      </c>
      <c r="X86" s="84">
        <v>170</v>
      </c>
      <c r="Y86" s="84">
        <v>233</v>
      </c>
      <c r="Z86" s="83">
        <v>175</v>
      </c>
      <c r="AA86" s="84">
        <v>74</v>
      </c>
      <c r="AB86" s="84">
        <v>101</v>
      </c>
      <c r="AC86" s="83">
        <v>168</v>
      </c>
      <c r="AD86" s="81">
        <v>70</v>
      </c>
      <c r="AE86" s="81">
        <v>98</v>
      </c>
      <c r="AF86" s="83">
        <v>354</v>
      </c>
      <c r="AG86" s="80">
        <v>163</v>
      </c>
      <c r="AH86" s="80">
        <v>191</v>
      </c>
      <c r="AI86" s="83">
        <v>414</v>
      </c>
      <c r="AJ86" s="80">
        <v>203</v>
      </c>
      <c r="AK86" s="80">
        <v>211</v>
      </c>
      <c r="AL86" s="83">
        <v>485</v>
      </c>
      <c r="AM86" s="84">
        <v>249</v>
      </c>
      <c r="AN86" s="84">
        <v>236</v>
      </c>
      <c r="AO86" s="83">
        <v>237</v>
      </c>
      <c r="AP86" s="81">
        <v>128</v>
      </c>
      <c r="AQ86" s="81">
        <v>109</v>
      </c>
      <c r="AR86" s="83">
        <v>284</v>
      </c>
      <c r="AS86" s="80">
        <v>144</v>
      </c>
      <c r="AT86" s="80">
        <v>140</v>
      </c>
      <c r="AU86" s="83">
        <v>317</v>
      </c>
      <c r="AV86" s="84">
        <v>164</v>
      </c>
      <c r="AW86" s="84">
        <v>153</v>
      </c>
      <c r="AX86" s="81">
        <v>4644</v>
      </c>
      <c r="AY86" s="81">
        <v>2244</v>
      </c>
      <c r="AZ86" s="81">
        <v>2400</v>
      </c>
      <c r="BA86" s="81">
        <v>444</v>
      </c>
      <c r="BB86" s="84">
        <v>221</v>
      </c>
      <c r="BC86" s="84">
        <v>223</v>
      </c>
      <c r="BD86" s="81">
        <v>176</v>
      </c>
      <c r="BE86" s="80">
        <v>92</v>
      </c>
      <c r="BF86" s="80">
        <v>84</v>
      </c>
      <c r="BG86" s="81">
        <v>290</v>
      </c>
      <c r="BH86" s="81">
        <v>151</v>
      </c>
      <c r="BI86" s="81">
        <v>139</v>
      </c>
      <c r="BJ86" s="81">
        <v>241</v>
      </c>
      <c r="BK86" s="80">
        <v>106</v>
      </c>
      <c r="BL86" s="80">
        <v>135</v>
      </c>
      <c r="BM86" s="81">
        <v>157</v>
      </c>
      <c r="BN86" s="81">
        <v>63</v>
      </c>
      <c r="BO86" s="81">
        <v>94</v>
      </c>
      <c r="BP86" s="81">
        <v>634</v>
      </c>
      <c r="BQ86" s="80">
        <v>297</v>
      </c>
      <c r="BR86" s="80">
        <v>337</v>
      </c>
      <c r="BS86" s="81">
        <v>250</v>
      </c>
      <c r="BT86" s="80">
        <v>127</v>
      </c>
      <c r="BU86" s="80">
        <v>123</v>
      </c>
      <c r="BV86" s="81">
        <v>299</v>
      </c>
      <c r="BW86" s="80">
        <v>142</v>
      </c>
      <c r="BX86" s="80">
        <v>157</v>
      </c>
      <c r="BY86" s="81">
        <v>186</v>
      </c>
      <c r="BZ86" s="85">
        <v>105</v>
      </c>
      <c r="CA86" s="85">
        <v>81</v>
      </c>
      <c r="CB86" s="81">
        <v>227</v>
      </c>
      <c r="CC86" s="80">
        <v>102</v>
      </c>
      <c r="CD86" s="80">
        <v>125</v>
      </c>
      <c r="CE86" s="81">
        <v>147</v>
      </c>
      <c r="CF86" s="80">
        <v>66</v>
      </c>
      <c r="CG86" s="80">
        <v>81</v>
      </c>
      <c r="CH86" s="81">
        <v>255</v>
      </c>
      <c r="CI86" s="80">
        <v>130</v>
      </c>
      <c r="CJ86" s="80">
        <v>125</v>
      </c>
      <c r="CK86" s="81">
        <v>402</v>
      </c>
      <c r="CL86" s="84">
        <v>191</v>
      </c>
      <c r="CM86" s="84">
        <v>211</v>
      </c>
      <c r="CN86" s="81">
        <v>432</v>
      </c>
      <c r="CO86" s="80">
        <v>208</v>
      </c>
      <c r="CP86" s="80">
        <v>224</v>
      </c>
      <c r="CQ86" s="81">
        <v>149</v>
      </c>
      <c r="CR86" s="80">
        <v>72</v>
      </c>
      <c r="CS86" s="80">
        <v>77</v>
      </c>
      <c r="CT86" s="81">
        <v>174</v>
      </c>
      <c r="CU86" s="80">
        <v>86</v>
      </c>
      <c r="CV86" s="80">
        <v>88</v>
      </c>
      <c r="CW86" s="81">
        <v>181</v>
      </c>
      <c r="CX86" s="80">
        <v>85</v>
      </c>
      <c r="CY86" s="80">
        <v>96</v>
      </c>
    </row>
    <row r="87" spans="1:103" ht="18.75" customHeight="1" x14ac:dyDescent="0.15">
      <c r="A87" s="87" t="s">
        <v>92</v>
      </c>
      <c r="B87" s="83">
        <v>8093</v>
      </c>
      <c r="C87" s="83">
        <v>3967</v>
      </c>
      <c r="D87" s="83">
        <v>4126</v>
      </c>
      <c r="E87" s="81">
        <v>3801</v>
      </c>
      <c r="F87" s="81">
        <v>1862</v>
      </c>
      <c r="G87" s="81">
        <v>1939</v>
      </c>
      <c r="H87" s="83">
        <v>235</v>
      </c>
      <c r="I87" s="84">
        <v>104</v>
      </c>
      <c r="J87" s="84">
        <v>131</v>
      </c>
      <c r="K87" s="83">
        <v>351</v>
      </c>
      <c r="L87" s="86">
        <v>171</v>
      </c>
      <c r="M87" s="86">
        <v>180</v>
      </c>
      <c r="N87" s="83">
        <v>292</v>
      </c>
      <c r="O87" s="81">
        <v>137</v>
      </c>
      <c r="P87" s="81">
        <v>155</v>
      </c>
      <c r="Q87" s="83">
        <v>112</v>
      </c>
      <c r="R87" s="82">
        <v>56</v>
      </c>
      <c r="S87" s="82">
        <v>56</v>
      </c>
      <c r="T87" s="83">
        <v>232</v>
      </c>
      <c r="U87" s="80">
        <v>96</v>
      </c>
      <c r="V87" s="80">
        <v>136</v>
      </c>
      <c r="W87" s="83">
        <v>362</v>
      </c>
      <c r="X87" s="84">
        <v>186</v>
      </c>
      <c r="Y87" s="84">
        <v>176</v>
      </c>
      <c r="Z87" s="83">
        <v>148</v>
      </c>
      <c r="AA87" s="84">
        <v>71</v>
      </c>
      <c r="AB87" s="84">
        <v>77</v>
      </c>
      <c r="AC87" s="83">
        <v>184</v>
      </c>
      <c r="AD87" s="81">
        <v>95</v>
      </c>
      <c r="AE87" s="81">
        <v>89</v>
      </c>
      <c r="AF87" s="83">
        <v>298</v>
      </c>
      <c r="AG87" s="80">
        <v>145</v>
      </c>
      <c r="AH87" s="80">
        <v>153</v>
      </c>
      <c r="AI87" s="83">
        <v>308</v>
      </c>
      <c r="AJ87" s="80">
        <v>156</v>
      </c>
      <c r="AK87" s="80">
        <v>152</v>
      </c>
      <c r="AL87" s="83">
        <v>484</v>
      </c>
      <c r="AM87" s="84">
        <v>249</v>
      </c>
      <c r="AN87" s="84">
        <v>235</v>
      </c>
      <c r="AO87" s="83">
        <v>244</v>
      </c>
      <c r="AP87" s="81">
        <v>131</v>
      </c>
      <c r="AQ87" s="81">
        <v>113</v>
      </c>
      <c r="AR87" s="83">
        <v>249</v>
      </c>
      <c r="AS87" s="80">
        <v>121</v>
      </c>
      <c r="AT87" s="80">
        <v>128</v>
      </c>
      <c r="AU87" s="83">
        <v>302</v>
      </c>
      <c r="AV87" s="84">
        <v>144</v>
      </c>
      <c r="AW87" s="84">
        <v>158</v>
      </c>
      <c r="AX87" s="81">
        <v>4292</v>
      </c>
      <c r="AY87" s="81">
        <v>2105</v>
      </c>
      <c r="AZ87" s="81">
        <v>2187</v>
      </c>
      <c r="BA87" s="81">
        <v>398</v>
      </c>
      <c r="BB87" s="84">
        <v>190</v>
      </c>
      <c r="BC87" s="84">
        <v>208</v>
      </c>
      <c r="BD87" s="81">
        <v>161</v>
      </c>
      <c r="BE87" s="80">
        <v>77</v>
      </c>
      <c r="BF87" s="80">
        <v>84</v>
      </c>
      <c r="BG87" s="81">
        <v>282</v>
      </c>
      <c r="BH87" s="81">
        <v>141</v>
      </c>
      <c r="BI87" s="81">
        <v>141</v>
      </c>
      <c r="BJ87" s="81">
        <v>235</v>
      </c>
      <c r="BK87" s="80">
        <v>104</v>
      </c>
      <c r="BL87" s="80">
        <v>131</v>
      </c>
      <c r="BM87" s="81">
        <v>143</v>
      </c>
      <c r="BN87" s="81">
        <v>57</v>
      </c>
      <c r="BO87" s="81">
        <v>86</v>
      </c>
      <c r="BP87" s="81">
        <v>583</v>
      </c>
      <c r="BQ87" s="80">
        <v>286</v>
      </c>
      <c r="BR87" s="80">
        <v>297</v>
      </c>
      <c r="BS87" s="81">
        <v>243</v>
      </c>
      <c r="BT87" s="80">
        <v>134</v>
      </c>
      <c r="BU87" s="80">
        <v>109</v>
      </c>
      <c r="BV87" s="81">
        <v>262</v>
      </c>
      <c r="BW87" s="80">
        <v>119</v>
      </c>
      <c r="BX87" s="80">
        <v>143</v>
      </c>
      <c r="BY87" s="81">
        <v>163</v>
      </c>
      <c r="BZ87" s="85">
        <v>77</v>
      </c>
      <c r="CA87" s="85">
        <v>86</v>
      </c>
      <c r="CB87" s="81">
        <v>212</v>
      </c>
      <c r="CC87" s="80">
        <v>96</v>
      </c>
      <c r="CD87" s="80">
        <v>116</v>
      </c>
      <c r="CE87" s="81">
        <v>124</v>
      </c>
      <c r="CF87" s="80">
        <v>68</v>
      </c>
      <c r="CG87" s="80">
        <v>56</v>
      </c>
      <c r="CH87" s="81">
        <v>217</v>
      </c>
      <c r="CI87" s="80">
        <v>120</v>
      </c>
      <c r="CJ87" s="80">
        <v>97</v>
      </c>
      <c r="CK87" s="81">
        <v>382</v>
      </c>
      <c r="CL87" s="84">
        <v>170</v>
      </c>
      <c r="CM87" s="84">
        <v>212</v>
      </c>
      <c r="CN87" s="81">
        <v>356</v>
      </c>
      <c r="CO87" s="80">
        <v>197</v>
      </c>
      <c r="CP87" s="80">
        <v>159</v>
      </c>
      <c r="CQ87" s="81">
        <v>172</v>
      </c>
      <c r="CR87" s="80">
        <v>89</v>
      </c>
      <c r="CS87" s="80">
        <v>83</v>
      </c>
      <c r="CT87" s="81">
        <v>198</v>
      </c>
      <c r="CU87" s="80">
        <v>96</v>
      </c>
      <c r="CV87" s="80">
        <v>102</v>
      </c>
      <c r="CW87" s="81">
        <v>161</v>
      </c>
      <c r="CX87" s="80">
        <v>84</v>
      </c>
      <c r="CY87" s="80">
        <v>77</v>
      </c>
    </row>
    <row r="88" spans="1:103" ht="18.75" customHeight="1" x14ac:dyDescent="0.15">
      <c r="A88" s="87" t="s">
        <v>91</v>
      </c>
      <c r="B88" s="83">
        <v>7654</v>
      </c>
      <c r="C88" s="83">
        <v>3644</v>
      </c>
      <c r="D88" s="83">
        <v>4010</v>
      </c>
      <c r="E88" s="81">
        <v>3683</v>
      </c>
      <c r="F88" s="81">
        <v>1763</v>
      </c>
      <c r="G88" s="81">
        <v>1920</v>
      </c>
      <c r="H88" s="83">
        <v>231</v>
      </c>
      <c r="I88" s="84">
        <v>110</v>
      </c>
      <c r="J88" s="84">
        <v>121</v>
      </c>
      <c r="K88" s="83">
        <v>384</v>
      </c>
      <c r="L88" s="86">
        <v>185</v>
      </c>
      <c r="M88" s="86">
        <v>199</v>
      </c>
      <c r="N88" s="83">
        <v>315</v>
      </c>
      <c r="O88" s="81">
        <v>154</v>
      </c>
      <c r="P88" s="81">
        <v>161</v>
      </c>
      <c r="Q88" s="83">
        <v>119</v>
      </c>
      <c r="R88" s="82">
        <v>60</v>
      </c>
      <c r="S88" s="82">
        <v>59</v>
      </c>
      <c r="T88" s="83">
        <v>186</v>
      </c>
      <c r="U88" s="80">
        <v>84</v>
      </c>
      <c r="V88" s="80">
        <v>102</v>
      </c>
      <c r="W88" s="83">
        <v>330</v>
      </c>
      <c r="X88" s="84">
        <v>159</v>
      </c>
      <c r="Y88" s="84">
        <v>171</v>
      </c>
      <c r="Z88" s="83">
        <v>156</v>
      </c>
      <c r="AA88" s="84">
        <v>75</v>
      </c>
      <c r="AB88" s="84">
        <v>81</v>
      </c>
      <c r="AC88" s="83">
        <v>170</v>
      </c>
      <c r="AD88" s="81">
        <v>88</v>
      </c>
      <c r="AE88" s="81">
        <v>82</v>
      </c>
      <c r="AF88" s="83">
        <v>322</v>
      </c>
      <c r="AG88" s="80">
        <v>147</v>
      </c>
      <c r="AH88" s="80">
        <v>175</v>
      </c>
      <c r="AI88" s="83">
        <v>301</v>
      </c>
      <c r="AJ88" s="80">
        <v>147</v>
      </c>
      <c r="AK88" s="80">
        <v>154</v>
      </c>
      <c r="AL88" s="83">
        <v>411</v>
      </c>
      <c r="AM88" s="84">
        <v>203</v>
      </c>
      <c r="AN88" s="84">
        <v>208</v>
      </c>
      <c r="AO88" s="83">
        <v>206</v>
      </c>
      <c r="AP88" s="81">
        <v>102</v>
      </c>
      <c r="AQ88" s="81">
        <v>104</v>
      </c>
      <c r="AR88" s="83">
        <v>261</v>
      </c>
      <c r="AS88" s="80">
        <v>117</v>
      </c>
      <c r="AT88" s="80">
        <v>144</v>
      </c>
      <c r="AU88" s="83">
        <v>291</v>
      </c>
      <c r="AV88" s="84">
        <v>132</v>
      </c>
      <c r="AW88" s="84">
        <v>159</v>
      </c>
      <c r="AX88" s="81">
        <v>3971</v>
      </c>
      <c r="AY88" s="81">
        <v>1881</v>
      </c>
      <c r="AZ88" s="81">
        <v>2090</v>
      </c>
      <c r="BA88" s="81">
        <v>371</v>
      </c>
      <c r="BB88" s="84">
        <v>160</v>
      </c>
      <c r="BC88" s="84">
        <v>211</v>
      </c>
      <c r="BD88" s="81">
        <v>157</v>
      </c>
      <c r="BE88" s="80">
        <v>75</v>
      </c>
      <c r="BF88" s="80">
        <v>82</v>
      </c>
      <c r="BG88" s="81">
        <v>271</v>
      </c>
      <c r="BH88" s="81">
        <v>128</v>
      </c>
      <c r="BI88" s="81">
        <v>143</v>
      </c>
      <c r="BJ88" s="81">
        <v>207</v>
      </c>
      <c r="BK88" s="80">
        <v>87</v>
      </c>
      <c r="BL88" s="80">
        <v>120</v>
      </c>
      <c r="BM88" s="81">
        <v>126</v>
      </c>
      <c r="BN88" s="81">
        <v>49</v>
      </c>
      <c r="BO88" s="81">
        <v>77</v>
      </c>
      <c r="BP88" s="81">
        <v>545</v>
      </c>
      <c r="BQ88" s="80">
        <v>266</v>
      </c>
      <c r="BR88" s="80">
        <v>279</v>
      </c>
      <c r="BS88" s="81">
        <v>224</v>
      </c>
      <c r="BT88" s="80">
        <v>108</v>
      </c>
      <c r="BU88" s="80">
        <v>116</v>
      </c>
      <c r="BV88" s="81">
        <v>238</v>
      </c>
      <c r="BW88" s="80">
        <v>106</v>
      </c>
      <c r="BX88" s="80">
        <v>132</v>
      </c>
      <c r="BY88" s="81">
        <v>170</v>
      </c>
      <c r="BZ88" s="85">
        <v>77</v>
      </c>
      <c r="CA88" s="85">
        <v>93</v>
      </c>
      <c r="CB88" s="81">
        <v>199</v>
      </c>
      <c r="CC88" s="80">
        <v>94</v>
      </c>
      <c r="CD88" s="80">
        <v>105</v>
      </c>
      <c r="CE88" s="81">
        <v>122</v>
      </c>
      <c r="CF88" s="80">
        <v>60</v>
      </c>
      <c r="CG88" s="80">
        <v>62</v>
      </c>
      <c r="CH88" s="81">
        <v>212</v>
      </c>
      <c r="CI88" s="80">
        <v>97</v>
      </c>
      <c r="CJ88" s="80">
        <v>115</v>
      </c>
      <c r="CK88" s="81">
        <v>321</v>
      </c>
      <c r="CL88" s="84">
        <v>159</v>
      </c>
      <c r="CM88" s="84">
        <v>162</v>
      </c>
      <c r="CN88" s="81">
        <v>348</v>
      </c>
      <c r="CO88" s="80">
        <v>178</v>
      </c>
      <c r="CP88" s="80">
        <v>170</v>
      </c>
      <c r="CQ88" s="81">
        <v>150</v>
      </c>
      <c r="CR88" s="80">
        <v>80</v>
      </c>
      <c r="CS88" s="80">
        <v>70</v>
      </c>
      <c r="CT88" s="81">
        <v>165</v>
      </c>
      <c r="CU88" s="80">
        <v>84</v>
      </c>
      <c r="CV88" s="80">
        <v>81</v>
      </c>
      <c r="CW88" s="81">
        <v>145</v>
      </c>
      <c r="CX88" s="80">
        <v>73</v>
      </c>
      <c r="CY88" s="80">
        <v>72</v>
      </c>
    </row>
    <row r="89" spans="1:103" ht="18.75" customHeight="1" x14ac:dyDescent="0.15">
      <c r="A89" s="87" t="s">
        <v>90</v>
      </c>
      <c r="B89" s="83">
        <v>6670</v>
      </c>
      <c r="C89" s="83">
        <v>3209</v>
      </c>
      <c r="D89" s="83">
        <v>3461</v>
      </c>
      <c r="E89" s="81">
        <v>3111</v>
      </c>
      <c r="F89" s="81">
        <v>1486</v>
      </c>
      <c r="G89" s="81">
        <v>1625</v>
      </c>
      <c r="H89" s="83">
        <v>212</v>
      </c>
      <c r="I89" s="84">
        <v>113</v>
      </c>
      <c r="J89" s="84">
        <v>99</v>
      </c>
      <c r="K89" s="83">
        <v>285</v>
      </c>
      <c r="L89" s="86">
        <v>142</v>
      </c>
      <c r="M89" s="86">
        <v>143</v>
      </c>
      <c r="N89" s="83">
        <v>241</v>
      </c>
      <c r="O89" s="81">
        <v>109</v>
      </c>
      <c r="P89" s="81">
        <v>132</v>
      </c>
      <c r="Q89" s="83">
        <v>99</v>
      </c>
      <c r="R89" s="82">
        <v>48</v>
      </c>
      <c r="S89" s="82">
        <v>51</v>
      </c>
      <c r="T89" s="83">
        <v>169</v>
      </c>
      <c r="U89" s="80">
        <v>81</v>
      </c>
      <c r="V89" s="80">
        <v>88</v>
      </c>
      <c r="W89" s="83">
        <v>312</v>
      </c>
      <c r="X89" s="84">
        <v>148</v>
      </c>
      <c r="Y89" s="84">
        <v>164</v>
      </c>
      <c r="Z89" s="83">
        <v>141</v>
      </c>
      <c r="AA89" s="84">
        <v>67</v>
      </c>
      <c r="AB89" s="84">
        <v>74</v>
      </c>
      <c r="AC89" s="83">
        <v>139</v>
      </c>
      <c r="AD89" s="81">
        <v>58</v>
      </c>
      <c r="AE89" s="81">
        <v>81</v>
      </c>
      <c r="AF89" s="83">
        <v>240</v>
      </c>
      <c r="AG89" s="80">
        <v>109</v>
      </c>
      <c r="AH89" s="80">
        <v>131</v>
      </c>
      <c r="AI89" s="83">
        <v>242</v>
      </c>
      <c r="AJ89" s="80">
        <v>121</v>
      </c>
      <c r="AK89" s="80">
        <v>121</v>
      </c>
      <c r="AL89" s="83">
        <v>383</v>
      </c>
      <c r="AM89" s="84">
        <v>176</v>
      </c>
      <c r="AN89" s="84">
        <v>207</v>
      </c>
      <c r="AO89" s="83">
        <v>178</v>
      </c>
      <c r="AP89" s="81">
        <v>78</v>
      </c>
      <c r="AQ89" s="81">
        <v>100</v>
      </c>
      <c r="AR89" s="83">
        <v>222</v>
      </c>
      <c r="AS89" s="80">
        <v>99</v>
      </c>
      <c r="AT89" s="80">
        <v>123</v>
      </c>
      <c r="AU89" s="83">
        <v>248</v>
      </c>
      <c r="AV89" s="84">
        <v>137</v>
      </c>
      <c r="AW89" s="84">
        <v>111</v>
      </c>
      <c r="AX89" s="81">
        <v>3559</v>
      </c>
      <c r="AY89" s="81">
        <v>1723</v>
      </c>
      <c r="AZ89" s="81">
        <v>1836</v>
      </c>
      <c r="BA89" s="81">
        <v>334</v>
      </c>
      <c r="BB89" s="84">
        <v>161</v>
      </c>
      <c r="BC89" s="84">
        <v>173</v>
      </c>
      <c r="BD89" s="81">
        <v>148</v>
      </c>
      <c r="BE89" s="80">
        <v>74</v>
      </c>
      <c r="BF89" s="80">
        <v>74</v>
      </c>
      <c r="BG89" s="81">
        <v>237</v>
      </c>
      <c r="BH89" s="81">
        <v>124</v>
      </c>
      <c r="BI89" s="81">
        <v>113</v>
      </c>
      <c r="BJ89" s="81">
        <v>185</v>
      </c>
      <c r="BK89" s="80">
        <v>76</v>
      </c>
      <c r="BL89" s="80">
        <v>109</v>
      </c>
      <c r="BM89" s="81">
        <v>120</v>
      </c>
      <c r="BN89" s="81">
        <v>50</v>
      </c>
      <c r="BO89" s="81">
        <v>70</v>
      </c>
      <c r="BP89" s="81">
        <v>471</v>
      </c>
      <c r="BQ89" s="80">
        <v>215</v>
      </c>
      <c r="BR89" s="80">
        <v>256</v>
      </c>
      <c r="BS89" s="81">
        <v>204</v>
      </c>
      <c r="BT89" s="80">
        <v>97</v>
      </c>
      <c r="BU89" s="80">
        <v>107</v>
      </c>
      <c r="BV89" s="81">
        <v>249</v>
      </c>
      <c r="BW89" s="80">
        <v>131</v>
      </c>
      <c r="BX89" s="80">
        <v>118</v>
      </c>
      <c r="BY89" s="81">
        <v>157</v>
      </c>
      <c r="BZ89" s="85">
        <v>80</v>
      </c>
      <c r="CA89" s="85">
        <v>77</v>
      </c>
      <c r="CB89" s="81">
        <v>187</v>
      </c>
      <c r="CC89" s="80">
        <v>99</v>
      </c>
      <c r="CD89" s="80">
        <v>88</v>
      </c>
      <c r="CE89" s="81">
        <v>100</v>
      </c>
      <c r="CF89" s="80">
        <v>50</v>
      </c>
      <c r="CG89" s="80">
        <v>50</v>
      </c>
      <c r="CH89" s="81">
        <v>183</v>
      </c>
      <c r="CI89" s="80">
        <v>84</v>
      </c>
      <c r="CJ89" s="80">
        <v>99</v>
      </c>
      <c r="CK89" s="81">
        <v>302</v>
      </c>
      <c r="CL89" s="84">
        <v>153</v>
      </c>
      <c r="CM89" s="84">
        <v>149</v>
      </c>
      <c r="CN89" s="81">
        <v>277</v>
      </c>
      <c r="CO89" s="80">
        <v>126</v>
      </c>
      <c r="CP89" s="80">
        <v>151</v>
      </c>
      <c r="CQ89" s="81">
        <v>139</v>
      </c>
      <c r="CR89" s="80">
        <v>73</v>
      </c>
      <c r="CS89" s="80">
        <v>66</v>
      </c>
      <c r="CT89" s="81">
        <v>148</v>
      </c>
      <c r="CU89" s="80">
        <v>75</v>
      </c>
      <c r="CV89" s="80">
        <v>73</v>
      </c>
      <c r="CW89" s="81">
        <v>118</v>
      </c>
      <c r="CX89" s="80">
        <v>55</v>
      </c>
      <c r="CY89" s="80">
        <v>63</v>
      </c>
    </row>
    <row r="90" spans="1:103" ht="18.75" customHeight="1" x14ac:dyDescent="0.15">
      <c r="A90" s="57" t="s">
        <v>186</v>
      </c>
      <c r="B90" s="78">
        <v>25860</v>
      </c>
      <c r="C90" s="78">
        <v>12516</v>
      </c>
      <c r="D90" s="78">
        <v>13344</v>
      </c>
      <c r="E90" s="78">
        <v>12673</v>
      </c>
      <c r="F90" s="78">
        <v>6078</v>
      </c>
      <c r="G90" s="78">
        <v>6595</v>
      </c>
      <c r="H90" s="78">
        <v>868</v>
      </c>
      <c r="I90" s="78">
        <v>421</v>
      </c>
      <c r="J90" s="78">
        <v>447</v>
      </c>
      <c r="K90" s="78">
        <v>1227</v>
      </c>
      <c r="L90" s="78">
        <v>602</v>
      </c>
      <c r="M90" s="78">
        <v>625</v>
      </c>
      <c r="N90" s="78">
        <v>960</v>
      </c>
      <c r="O90" s="78">
        <v>457</v>
      </c>
      <c r="P90" s="78">
        <v>503</v>
      </c>
      <c r="Q90" s="78">
        <v>427</v>
      </c>
      <c r="R90" s="78">
        <v>207</v>
      </c>
      <c r="S90" s="78">
        <v>220</v>
      </c>
      <c r="T90" s="78">
        <v>768</v>
      </c>
      <c r="U90" s="78">
        <v>365</v>
      </c>
      <c r="V90" s="78">
        <v>403</v>
      </c>
      <c r="W90" s="78">
        <v>1186</v>
      </c>
      <c r="X90" s="78">
        <v>547</v>
      </c>
      <c r="Y90" s="78">
        <v>639</v>
      </c>
      <c r="Z90" s="78">
        <v>605</v>
      </c>
      <c r="AA90" s="78">
        <v>280</v>
      </c>
      <c r="AB90" s="78">
        <v>325</v>
      </c>
      <c r="AC90" s="78">
        <v>558</v>
      </c>
      <c r="AD90" s="78">
        <v>275</v>
      </c>
      <c r="AE90" s="78">
        <v>283</v>
      </c>
      <c r="AF90" s="78">
        <v>1124</v>
      </c>
      <c r="AG90" s="78">
        <v>528</v>
      </c>
      <c r="AH90" s="78">
        <v>596</v>
      </c>
      <c r="AI90" s="78">
        <v>1085</v>
      </c>
      <c r="AJ90" s="78">
        <v>519</v>
      </c>
      <c r="AK90" s="78">
        <v>566</v>
      </c>
      <c r="AL90" s="78">
        <v>1540</v>
      </c>
      <c r="AM90" s="78">
        <v>731</v>
      </c>
      <c r="AN90" s="78">
        <v>809</v>
      </c>
      <c r="AO90" s="78">
        <v>628</v>
      </c>
      <c r="AP90" s="78">
        <v>313</v>
      </c>
      <c r="AQ90" s="78">
        <v>315</v>
      </c>
      <c r="AR90" s="78">
        <v>859</v>
      </c>
      <c r="AS90" s="78">
        <v>412</v>
      </c>
      <c r="AT90" s="78">
        <v>447</v>
      </c>
      <c r="AU90" s="78">
        <v>838</v>
      </c>
      <c r="AV90" s="78">
        <v>421</v>
      </c>
      <c r="AW90" s="78">
        <v>417</v>
      </c>
      <c r="AX90" s="78">
        <v>13187</v>
      </c>
      <c r="AY90" s="78">
        <v>6438</v>
      </c>
      <c r="AZ90" s="78">
        <v>6749</v>
      </c>
      <c r="BA90" s="78">
        <v>1215</v>
      </c>
      <c r="BB90" s="78">
        <v>610</v>
      </c>
      <c r="BC90" s="78">
        <v>605</v>
      </c>
      <c r="BD90" s="78">
        <v>541</v>
      </c>
      <c r="BE90" s="78">
        <v>255</v>
      </c>
      <c r="BF90" s="78">
        <v>286</v>
      </c>
      <c r="BG90" s="78">
        <v>773</v>
      </c>
      <c r="BH90" s="78">
        <v>374</v>
      </c>
      <c r="BI90" s="78">
        <v>399</v>
      </c>
      <c r="BJ90" s="78">
        <v>790</v>
      </c>
      <c r="BK90" s="78">
        <v>389</v>
      </c>
      <c r="BL90" s="78">
        <v>401</v>
      </c>
      <c r="BM90" s="78">
        <v>396</v>
      </c>
      <c r="BN90" s="78">
        <v>177</v>
      </c>
      <c r="BO90" s="78">
        <v>219</v>
      </c>
      <c r="BP90" s="78">
        <v>1985</v>
      </c>
      <c r="BQ90" s="78">
        <v>902</v>
      </c>
      <c r="BR90" s="78">
        <v>1083</v>
      </c>
      <c r="BS90" s="78">
        <v>819</v>
      </c>
      <c r="BT90" s="78">
        <v>379</v>
      </c>
      <c r="BU90" s="78">
        <v>440</v>
      </c>
      <c r="BV90" s="78">
        <v>783</v>
      </c>
      <c r="BW90" s="78">
        <v>388</v>
      </c>
      <c r="BX90" s="78">
        <v>395</v>
      </c>
      <c r="BY90" s="78">
        <v>503</v>
      </c>
      <c r="BZ90" s="78">
        <v>242</v>
      </c>
      <c r="CA90" s="78">
        <v>261</v>
      </c>
      <c r="CB90" s="78">
        <v>614</v>
      </c>
      <c r="CC90" s="78">
        <v>327</v>
      </c>
      <c r="CD90" s="78">
        <v>287</v>
      </c>
      <c r="CE90" s="78">
        <v>429</v>
      </c>
      <c r="CF90" s="78">
        <v>212</v>
      </c>
      <c r="CG90" s="78">
        <v>217</v>
      </c>
      <c r="CH90" s="78">
        <v>706</v>
      </c>
      <c r="CI90" s="78">
        <v>338</v>
      </c>
      <c r="CJ90" s="78">
        <v>368</v>
      </c>
      <c r="CK90" s="78">
        <v>1074</v>
      </c>
      <c r="CL90" s="78">
        <v>527</v>
      </c>
      <c r="CM90" s="78">
        <v>547</v>
      </c>
      <c r="CN90" s="78">
        <v>1089</v>
      </c>
      <c r="CO90" s="78">
        <v>573</v>
      </c>
      <c r="CP90" s="78">
        <v>516</v>
      </c>
      <c r="CQ90" s="78">
        <v>486</v>
      </c>
      <c r="CR90" s="78">
        <v>233</v>
      </c>
      <c r="CS90" s="78">
        <v>253</v>
      </c>
      <c r="CT90" s="78">
        <v>501</v>
      </c>
      <c r="CU90" s="78">
        <v>271</v>
      </c>
      <c r="CV90" s="78">
        <v>230</v>
      </c>
      <c r="CW90" s="78">
        <v>483</v>
      </c>
      <c r="CX90" s="78">
        <v>241</v>
      </c>
      <c r="CY90" s="78">
        <v>242</v>
      </c>
    </row>
    <row r="91" spans="1:103" ht="18.75" customHeight="1" x14ac:dyDescent="0.15">
      <c r="A91" s="87" t="s">
        <v>88</v>
      </c>
      <c r="B91" s="83">
        <v>6847</v>
      </c>
      <c r="C91" s="83">
        <v>3260</v>
      </c>
      <c r="D91" s="83">
        <v>3587</v>
      </c>
      <c r="E91" s="81">
        <v>3225</v>
      </c>
      <c r="F91" s="81">
        <v>1500</v>
      </c>
      <c r="G91" s="81">
        <v>1725</v>
      </c>
      <c r="H91" s="83">
        <v>219</v>
      </c>
      <c r="I91" s="84">
        <v>95</v>
      </c>
      <c r="J91" s="84">
        <v>124</v>
      </c>
      <c r="K91" s="83">
        <v>280</v>
      </c>
      <c r="L91" s="86">
        <v>139</v>
      </c>
      <c r="M91" s="86">
        <v>141</v>
      </c>
      <c r="N91" s="83">
        <v>231</v>
      </c>
      <c r="O91" s="81">
        <v>118</v>
      </c>
      <c r="P91" s="81">
        <v>113</v>
      </c>
      <c r="Q91" s="83">
        <v>107</v>
      </c>
      <c r="R91" s="82">
        <v>48</v>
      </c>
      <c r="S91" s="82">
        <v>59</v>
      </c>
      <c r="T91" s="83">
        <v>209</v>
      </c>
      <c r="U91" s="80">
        <v>99</v>
      </c>
      <c r="V91" s="80">
        <v>110</v>
      </c>
      <c r="W91" s="83">
        <v>340</v>
      </c>
      <c r="X91" s="84">
        <v>151</v>
      </c>
      <c r="Y91" s="84">
        <v>189</v>
      </c>
      <c r="Z91" s="83">
        <v>145</v>
      </c>
      <c r="AA91" s="84">
        <v>62</v>
      </c>
      <c r="AB91" s="84">
        <v>83</v>
      </c>
      <c r="AC91" s="83">
        <v>132</v>
      </c>
      <c r="AD91" s="81">
        <v>68</v>
      </c>
      <c r="AE91" s="81">
        <v>64</v>
      </c>
      <c r="AF91" s="83">
        <v>278</v>
      </c>
      <c r="AG91" s="80">
        <v>119</v>
      </c>
      <c r="AH91" s="80">
        <v>159</v>
      </c>
      <c r="AI91" s="83">
        <v>300</v>
      </c>
      <c r="AJ91" s="80">
        <v>136</v>
      </c>
      <c r="AK91" s="80">
        <v>164</v>
      </c>
      <c r="AL91" s="83">
        <v>385</v>
      </c>
      <c r="AM91" s="84">
        <v>188</v>
      </c>
      <c r="AN91" s="84">
        <v>197</v>
      </c>
      <c r="AO91" s="83">
        <v>184</v>
      </c>
      <c r="AP91" s="81">
        <v>87</v>
      </c>
      <c r="AQ91" s="81">
        <v>97</v>
      </c>
      <c r="AR91" s="83">
        <v>198</v>
      </c>
      <c r="AS91" s="80">
        <v>87</v>
      </c>
      <c r="AT91" s="80">
        <v>111</v>
      </c>
      <c r="AU91" s="83">
        <v>217</v>
      </c>
      <c r="AV91" s="84">
        <v>103</v>
      </c>
      <c r="AW91" s="84">
        <v>114</v>
      </c>
      <c r="AX91" s="81">
        <v>3622</v>
      </c>
      <c r="AY91" s="81">
        <v>1760</v>
      </c>
      <c r="AZ91" s="81">
        <v>1862</v>
      </c>
      <c r="BA91" s="81">
        <v>351</v>
      </c>
      <c r="BB91" s="84">
        <v>169</v>
      </c>
      <c r="BC91" s="84">
        <v>182</v>
      </c>
      <c r="BD91" s="81">
        <v>161</v>
      </c>
      <c r="BE91" s="80">
        <v>80</v>
      </c>
      <c r="BF91" s="80">
        <v>81</v>
      </c>
      <c r="BG91" s="81">
        <v>222</v>
      </c>
      <c r="BH91" s="81">
        <v>109</v>
      </c>
      <c r="BI91" s="81">
        <v>113</v>
      </c>
      <c r="BJ91" s="81">
        <v>200</v>
      </c>
      <c r="BK91" s="80">
        <v>93</v>
      </c>
      <c r="BL91" s="80">
        <v>107</v>
      </c>
      <c r="BM91" s="81">
        <v>95</v>
      </c>
      <c r="BN91" s="81">
        <v>48</v>
      </c>
      <c r="BO91" s="81">
        <v>47</v>
      </c>
      <c r="BP91" s="81">
        <v>547</v>
      </c>
      <c r="BQ91" s="80">
        <v>254</v>
      </c>
      <c r="BR91" s="80">
        <v>293</v>
      </c>
      <c r="BS91" s="81">
        <v>196</v>
      </c>
      <c r="BT91" s="80">
        <v>94</v>
      </c>
      <c r="BU91" s="80">
        <v>102</v>
      </c>
      <c r="BV91" s="81">
        <v>224</v>
      </c>
      <c r="BW91" s="80">
        <v>108</v>
      </c>
      <c r="BX91" s="80">
        <v>116</v>
      </c>
      <c r="BY91" s="81">
        <v>147</v>
      </c>
      <c r="BZ91" s="85">
        <v>77</v>
      </c>
      <c r="CA91" s="85">
        <v>70</v>
      </c>
      <c r="CB91" s="81">
        <v>163</v>
      </c>
      <c r="CC91" s="80">
        <v>90</v>
      </c>
      <c r="CD91" s="80">
        <v>73</v>
      </c>
      <c r="CE91" s="81">
        <v>108</v>
      </c>
      <c r="CF91" s="80">
        <v>55</v>
      </c>
      <c r="CG91" s="80">
        <v>53</v>
      </c>
      <c r="CH91" s="81">
        <v>197</v>
      </c>
      <c r="CI91" s="80">
        <v>86</v>
      </c>
      <c r="CJ91" s="80">
        <v>111</v>
      </c>
      <c r="CK91" s="81">
        <v>294</v>
      </c>
      <c r="CL91" s="84">
        <v>130</v>
      </c>
      <c r="CM91" s="84">
        <v>164</v>
      </c>
      <c r="CN91" s="81">
        <v>325</v>
      </c>
      <c r="CO91" s="80">
        <v>172</v>
      </c>
      <c r="CP91" s="80">
        <v>153</v>
      </c>
      <c r="CQ91" s="81">
        <v>130</v>
      </c>
      <c r="CR91" s="80">
        <v>58</v>
      </c>
      <c r="CS91" s="80">
        <v>72</v>
      </c>
      <c r="CT91" s="81">
        <v>131</v>
      </c>
      <c r="CU91" s="80">
        <v>70</v>
      </c>
      <c r="CV91" s="80">
        <v>61</v>
      </c>
      <c r="CW91" s="81">
        <v>131</v>
      </c>
      <c r="CX91" s="80">
        <v>67</v>
      </c>
      <c r="CY91" s="80">
        <v>64</v>
      </c>
    </row>
    <row r="92" spans="1:103" ht="18.75" customHeight="1" x14ac:dyDescent="0.15">
      <c r="A92" s="87" t="s">
        <v>87</v>
      </c>
      <c r="B92" s="83">
        <v>5757</v>
      </c>
      <c r="C92" s="83">
        <v>2859</v>
      </c>
      <c r="D92" s="83">
        <v>2898</v>
      </c>
      <c r="E92" s="81">
        <v>2796</v>
      </c>
      <c r="F92" s="81">
        <v>1383</v>
      </c>
      <c r="G92" s="81">
        <v>1413</v>
      </c>
      <c r="H92" s="83">
        <v>193</v>
      </c>
      <c r="I92" s="84">
        <v>101</v>
      </c>
      <c r="J92" s="84">
        <v>92</v>
      </c>
      <c r="K92" s="83">
        <v>283</v>
      </c>
      <c r="L92" s="86">
        <v>145</v>
      </c>
      <c r="M92" s="86">
        <v>138</v>
      </c>
      <c r="N92" s="83">
        <v>232</v>
      </c>
      <c r="O92" s="81">
        <v>110</v>
      </c>
      <c r="P92" s="81">
        <v>122</v>
      </c>
      <c r="Q92" s="83">
        <v>83</v>
      </c>
      <c r="R92" s="82">
        <v>46</v>
      </c>
      <c r="S92" s="82">
        <v>37</v>
      </c>
      <c r="T92" s="83">
        <v>166</v>
      </c>
      <c r="U92" s="80">
        <v>76</v>
      </c>
      <c r="V92" s="80">
        <v>90</v>
      </c>
      <c r="W92" s="83">
        <v>262</v>
      </c>
      <c r="X92" s="84">
        <v>125</v>
      </c>
      <c r="Y92" s="84">
        <v>137</v>
      </c>
      <c r="Z92" s="83">
        <v>111</v>
      </c>
      <c r="AA92" s="84">
        <v>54</v>
      </c>
      <c r="AB92" s="84">
        <v>57</v>
      </c>
      <c r="AC92" s="83">
        <v>128</v>
      </c>
      <c r="AD92" s="81">
        <v>65</v>
      </c>
      <c r="AE92" s="81">
        <v>63</v>
      </c>
      <c r="AF92" s="83">
        <v>260</v>
      </c>
      <c r="AG92" s="80">
        <v>129</v>
      </c>
      <c r="AH92" s="80">
        <v>131</v>
      </c>
      <c r="AI92" s="83">
        <v>217</v>
      </c>
      <c r="AJ92" s="80">
        <v>100</v>
      </c>
      <c r="AK92" s="80">
        <v>117</v>
      </c>
      <c r="AL92" s="83">
        <v>350</v>
      </c>
      <c r="AM92" s="84">
        <v>168</v>
      </c>
      <c r="AN92" s="84">
        <v>182</v>
      </c>
      <c r="AO92" s="83">
        <v>129</v>
      </c>
      <c r="AP92" s="81">
        <v>64</v>
      </c>
      <c r="AQ92" s="81">
        <v>65</v>
      </c>
      <c r="AR92" s="83">
        <v>192</v>
      </c>
      <c r="AS92" s="80">
        <v>94</v>
      </c>
      <c r="AT92" s="80">
        <v>98</v>
      </c>
      <c r="AU92" s="83">
        <v>190</v>
      </c>
      <c r="AV92" s="84">
        <v>106</v>
      </c>
      <c r="AW92" s="84">
        <v>84</v>
      </c>
      <c r="AX92" s="81">
        <v>2961</v>
      </c>
      <c r="AY92" s="81">
        <v>1476</v>
      </c>
      <c r="AZ92" s="81">
        <v>1485</v>
      </c>
      <c r="BA92" s="81">
        <v>269</v>
      </c>
      <c r="BB92" s="84">
        <v>134</v>
      </c>
      <c r="BC92" s="84">
        <v>135</v>
      </c>
      <c r="BD92" s="81">
        <v>118</v>
      </c>
      <c r="BE92" s="80">
        <v>57</v>
      </c>
      <c r="BF92" s="80">
        <v>61</v>
      </c>
      <c r="BG92" s="81">
        <v>164</v>
      </c>
      <c r="BH92" s="81">
        <v>87</v>
      </c>
      <c r="BI92" s="81">
        <v>77</v>
      </c>
      <c r="BJ92" s="81">
        <v>200</v>
      </c>
      <c r="BK92" s="80">
        <v>103</v>
      </c>
      <c r="BL92" s="80">
        <v>97</v>
      </c>
      <c r="BM92" s="81">
        <v>93</v>
      </c>
      <c r="BN92" s="81">
        <v>44</v>
      </c>
      <c r="BO92" s="81">
        <v>49</v>
      </c>
      <c r="BP92" s="81">
        <v>450</v>
      </c>
      <c r="BQ92" s="80">
        <v>198</v>
      </c>
      <c r="BR92" s="80">
        <v>252</v>
      </c>
      <c r="BS92" s="81">
        <v>199</v>
      </c>
      <c r="BT92" s="80">
        <v>94</v>
      </c>
      <c r="BU92" s="80">
        <v>105</v>
      </c>
      <c r="BV92" s="81">
        <v>180</v>
      </c>
      <c r="BW92" s="80">
        <v>91</v>
      </c>
      <c r="BX92" s="80">
        <v>89</v>
      </c>
      <c r="BY92" s="81">
        <v>103</v>
      </c>
      <c r="BZ92" s="85">
        <v>46</v>
      </c>
      <c r="CA92" s="85">
        <v>57</v>
      </c>
      <c r="CB92" s="81">
        <v>146</v>
      </c>
      <c r="CC92" s="80">
        <v>81</v>
      </c>
      <c r="CD92" s="80">
        <v>65</v>
      </c>
      <c r="CE92" s="81">
        <v>104</v>
      </c>
      <c r="CF92" s="80">
        <v>48</v>
      </c>
      <c r="CG92" s="80">
        <v>56</v>
      </c>
      <c r="CH92" s="81">
        <v>145</v>
      </c>
      <c r="CI92" s="80">
        <v>75</v>
      </c>
      <c r="CJ92" s="80">
        <v>70</v>
      </c>
      <c r="CK92" s="81">
        <v>236</v>
      </c>
      <c r="CL92" s="84">
        <v>131</v>
      </c>
      <c r="CM92" s="84">
        <v>105</v>
      </c>
      <c r="CN92" s="81">
        <v>229</v>
      </c>
      <c r="CO92" s="80">
        <v>116</v>
      </c>
      <c r="CP92" s="80">
        <v>113</v>
      </c>
      <c r="CQ92" s="81">
        <v>99</v>
      </c>
      <c r="CR92" s="80">
        <v>55</v>
      </c>
      <c r="CS92" s="80">
        <v>44</v>
      </c>
      <c r="CT92" s="81">
        <v>119</v>
      </c>
      <c r="CU92" s="80">
        <v>61</v>
      </c>
      <c r="CV92" s="80">
        <v>58</v>
      </c>
      <c r="CW92" s="81">
        <v>107</v>
      </c>
      <c r="CX92" s="80">
        <v>55</v>
      </c>
      <c r="CY92" s="80">
        <v>52</v>
      </c>
    </row>
    <row r="93" spans="1:103" ht="18.75" customHeight="1" x14ac:dyDescent="0.15">
      <c r="A93" s="87" t="s">
        <v>86</v>
      </c>
      <c r="B93" s="83">
        <v>4792</v>
      </c>
      <c r="C93" s="83">
        <v>2369</v>
      </c>
      <c r="D93" s="83">
        <v>2423</v>
      </c>
      <c r="E93" s="81">
        <v>2397</v>
      </c>
      <c r="F93" s="81">
        <v>1176</v>
      </c>
      <c r="G93" s="81">
        <v>1221</v>
      </c>
      <c r="H93" s="83">
        <v>160</v>
      </c>
      <c r="I93" s="84">
        <v>73</v>
      </c>
      <c r="J93" s="84">
        <v>87</v>
      </c>
      <c r="K93" s="83">
        <v>239</v>
      </c>
      <c r="L93" s="86">
        <v>115</v>
      </c>
      <c r="M93" s="86">
        <v>124</v>
      </c>
      <c r="N93" s="83">
        <v>185</v>
      </c>
      <c r="O93" s="81">
        <v>91</v>
      </c>
      <c r="P93" s="81">
        <v>94</v>
      </c>
      <c r="Q93" s="83">
        <v>84</v>
      </c>
      <c r="R93" s="82">
        <v>43</v>
      </c>
      <c r="S93" s="82">
        <v>41</v>
      </c>
      <c r="T93" s="83">
        <v>133</v>
      </c>
      <c r="U93" s="80">
        <v>54</v>
      </c>
      <c r="V93" s="80">
        <v>79</v>
      </c>
      <c r="W93" s="83">
        <v>212</v>
      </c>
      <c r="X93" s="84">
        <v>108</v>
      </c>
      <c r="Y93" s="84">
        <v>104</v>
      </c>
      <c r="Z93" s="83">
        <v>127</v>
      </c>
      <c r="AA93" s="84">
        <v>60</v>
      </c>
      <c r="AB93" s="84">
        <v>67</v>
      </c>
      <c r="AC93" s="83">
        <v>117</v>
      </c>
      <c r="AD93" s="81">
        <v>56</v>
      </c>
      <c r="AE93" s="81">
        <v>61</v>
      </c>
      <c r="AF93" s="83">
        <v>210</v>
      </c>
      <c r="AG93" s="80">
        <v>105</v>
      </c>
      <c r="AH93" s="80">
        <v>105</v>
      </c>
      <c r="AI93" s="83">
        <v>185</v>
      </c>
      <c r="AJ93" s="80">
        <v>82</v>
      </c>
      <c r="AK93" s="80">
        <v>103</v>
      </c>
      <c r="AL93" s="83">
        <v>282</v>
      </c>
      <c r="AM93" s="84">
        <v>142</v>
      </c>
      <c r="AN93" s="84">
        <v>140</v>
      </c>
      <c r="AO93" s="83">
        <v>113</v>
      </c>
      <c r="AP93" s="81">
        <v>65</v>
      </c>
      <c r="AQ93" s="81">
        <v>48</v>
      </c>
      <c r="AR93" s="83">
        <v>170</v>
      </c>
      <c r="AS93" s="80">
        <v>86</v>
      </c>
      <c r="AT93" s="80">
        <v>84</v>
      </c>
      <c r="AU93" s="83">
        <v>180</v>
      </c>
      <c r="AV93" s="84">
        <v>96</v>
      </c>
      <c r="AW93" s="84">
        <v>84</v>
      </c>
      <c r="AX93" s="81">
        <v>2395</v>
      </c>
      <c r="AY93" s="81">
        <v>1193</v>
      </c>
      <c r="AZ93" s="81">
        <v>1202</v>
      </c>
      <c r="BA93" s="81">
        <v>207</v>
      </c>
      <c r="BB93" s="84">
        <v>105</v>
      </c>
      <c r="BC93" s="84">
        <v>102</v>
      </c>
      <c r="BD93" s="81">
        <v>98</v>
      </c>
      <c r="BE93" s="80">
        <v>46</v>
      </c>
      <c r="BF93" s="80">
        <v>52</v>
      </c>
      <c r="BG93" s="81">
        <v>134</v>
      </c>
      <c r="BH93" s="81">
        <v>55</v>
      </c>
      <c r="BI93" s="81">
        <v>79</v>
      </c>
      <c r="BJ93" s="81">
        <v>138</v>
      </c>
      <c r="BK93" s="80">
        <v>64</v>
      </c>
      <c r="BL93" s="80">
        <v>74</v>
      </c>
      <c r="BM93" s="81">
        <v>71</v>
      </c>
      <c r="BN93" s="81">
        <v>23</v>
      </c>
      <c r="BO93" s="81">
        <v>48</v>
      </c>
      <c r="BP93" s="81">
        <v>361</v>
      </c>
      <c r="BQ93" s="80">
        <v>181</v>
      </c>
      <c r="BR93" s="80">
        <v>180</v>
      </c>
      <c r="BS93" s="81">
        <v>152</v>
      </c>
      <c r="BT93" s="80">
        <v>69</v>
      </c>
      <c r="BU93" s="80">
        <v>83</v>
      </c>
      <c r="BV93" s="81">
        <v>134</v>
      </c>
      <c r="BW93" s="80">
        <v>72</v>
      </c>
      <c r="BX93" s="80">
        <v>62</v>
      </c>
      <c r="BY93" s="81">
        <v>93</v>
      </c>
      <c r="BZ93" s="85">
        <v>46</v>
      </c>
      <c r="CA93" s="85">
        <v>47</v>
      </c>
      <c r="CB93" s="81">
        <v>113</v>
      </c>
      <c r="CC93" s="80">
        <v>65</v>
      </c>
      <c r="CD93" s="80">
        <v>48</v>
      </c>
      <c r="CE93" s="81">
        <v>88</v>
      </c>
      <c r="CF93" s="80">
        <v>48</v>
      </c>
      <c r="CG93" s="80">
        <v>40</v>
      </c>
      <c r="CH93" s="81">
        <v>124</v>
      </c>
      <c r="CI93" s="80">
        <v>62</v>
      </c>
      <c r="CJ93" s="80">
        <v>62</v>
      </c>
      <c r="CK93" s="81">
        <v>194</v>
      </c>
      <c r="CL93" s="84">
        <v>113</v>
      </c>
      <c r="CM93" s="84">
        <v>81</v>
      </c>
      <c r="CN93" s="81">
        <v>200</v>
      </c>
      <c r="CO93" s="80">
        <v>97</v>
      </c>
      <c r="CP93" s="80">
        <v>103</v>
      </c>
      <c r="CQ93" s="81">
        <v>97</v>
      </c>
      <c r="CR93" s="80">
        <v>43</v>
      </c>
      <c r="CS93" s="80">
        <v>54</v>
      </c>
      <c r="CT93" s="81">
        <v>102</v>
      </c>
      <c r="CU93" s="80">
        <v>59</v>
      </c>
      <c r="CV93" s="80">
        <v>43</v>
      </c>
      <c r="CW93" s="81">
        <v>89</v>
      </c>
      <c r="CX93" s="80">
        <v>45</v>
      </c>
      <c r="CY93" s="80">
        <v>44</v>
      </c>
    </row>
    <row r="94" spans="1:103" ht="18.75" customHeight="1" x14ac:dyDescent="0.15">
      <c r="A94" s="87" t="s">
        <v>85</v>
      </c>
      <c r="B94" s="83">
        <v>5092</v>
      </c>
      <c r="C94" s="83">
        <v>2465</v>
      </c>
      <c r="D94" s="83">
        <v>2627</v>
      </c>
      <c r="E94" s="81">
        <v>2562</v>
      </c>
      <c r="F94" s="81">
        <v>1248</v>
      </c>
      <c r="G94" s="81">
        <v>1314</v>
      </c>
      <c r="H94" s="83">
        <v>174</v>
      </c>
      <c r="I94" s="84">
        <v>91</v>
      </c>
      <c r="J94" s="84">
        <v>83</v>
      </c>
      <c r="K94" s="83">
        <v>259</v>
      </c>
      <c r="L94" s="86">
        <v>130</v>
      </c>
      <c r="M94" s="86">
        <v>129</v>
      </c>
      <c r="N94" s="83">
        <v>167</v>
      </c>
      <c r="O94" s="81">
        <v>71</v>
      </c>
      <c r="P94" s="81">
        <v>96</v>
      </c>
      <c r="Q94" s="83">
        <v>99</v>
      </c>
      <c r="R94" s="82">
        <v>48</v>
      </c>
      <c r="S94" s="82">
        <v>51</v>
      </c>
      <c r="T94" s="83">
        <v>162</v>
      </c>
      <c r="U94" s="80">
        <v>93</v>
      </c>
      <c r="V94" s="80">
        <v>69</v>
      </c>
      <c r="W94" s="83">
        <v>235</v>
      </c>
      <c r="X94" s="84">
        <v>108</v>
      </c>
      <c r="Y94" s="84">
        <v>127</v>
      </c>
      <c r="Z94" s="83">
        <v>132</v>
      </c>
      <c r="AA94" s="84">
        <v>61</v>
      </c>
      <c r="AB94" s="84">
        <v>71</v>
      </c>
      <c r="AC94" s="83">
        <v>112</v>
      </c>
      <c r="AD94" s="81">
        <v>58</v>
      </c>
      <c r="AE94" s="81">
        <v>54</v>
      </c>
      <c r="AF94" s="83">
        <v>220</v>
      </c>
      <c r="AG94" s="80">
        <v>103</v>
      </c>
      <c r="AH94" s="80">
        <v>117</v>
      </c>
      <c r="AI94" s="83">
        <v>233</v>
      </c>
      <c r="AJ94" s="80">
        <v>122</v>
      </c>
      <c r="AK94" s="80">
        <v>111</v>
      </c>
      <c r="AL94" s="83">
        <v>324</v>
      </c>
      <c r="AM94" s="84">
        <v>154</v>
      </c>
      <c r="AN94" s="84">
        <v>170</v>
      </c>
      <c r="AO94" s="83">
        <v>124</v>
      </c>
      <c r="AP94" s="81">
        <v>58</v>
      </c>
      <c r="AQ94" s="81">
        <v>66</v>
      </c>
      <c r="AR94" s="83">
        <v>165</v>
      </c>
      <c r="AS94" s="80">
        <v>82</v>
      </c>
      <c r="AT94" s="80">
        <v>83</v>
      </c>
      <c r="AU94" s="83">
        <v>156</v>
      </c>
      <c r="AV94" s="84">
        <v>69</v>
      </c>
      <c r="AW94" s="84">
        <v>87</v>
      </c>
      <c r="AX94" s="81">
        <v>2530</v>
      </c>
      <c r="AY94" s="81">
        <v>1217</v>
      </c>
      <c r="AZ94" s="81">
        <v>1313</v>
      </c>
      <c r="BA94" s="81">
        <v>240</v>
      </c>
      <c r="BB94" s="84">
        <v>122</v>
      </c>
      <c r="BC94" s="84">
        <v>118</v>
      </c>
      <c r="BD94" s="81">
        <v>106</v>
      </c>
      <c r="BE94" s="80">
        <v>48</v>
      </c>
      <c r="BF94" s="80">
        <v>58</v>
      </c>
      <c r="BG94" s="81">
        <v>140</v>
      </c>
      <c r="BH94" s="81">
        <v>74</v>
      </c>
      <c r="BI94" s="81">
        <v>66</v>
      </c>
      <c r="BJ94" s="81">
        <v>146</v>
      </c>
      <c r="BK94" s="80">
        <v>72</v>
      </c>
      <c r="BL94" s="80">
        <v>74</v>
      </c>
      <c r="BM94" s="81">
        <v>82</v>
      </c>
      <c r="BN94" s="81">
        <v>38</v>
      </c>
      <c r="BO94" s="81">
        <v>44</v>
      </c>
      <c r="BP94" s="81">
        <v>385</v>
      </c>
      <c r="BQ94" s="80">
        <v>163</v>
      </c>
      <c r="BR94" s="80">
        <v>222</v>
      </c>
      <c r="BS94" s="81">
        <v>164</v>
      </c>
      <c r="BT94" s="80">
        <v>72</v>
      </c>
      <c r="BU94" s="80">
        <v>92</v>
      </c>
      <c r="BV94" s="81">
        <v>142</v>
      </c>
      <c r="BW94" s="80">
        <v>71</v>
      </c>
      <c r="BX94" s="80">
        <v>71</v>
      </c>
      <c r="BY94" s="81">
        <v>82</v>
      </c>
      <c r="BZ94" s="85">
        <v>37</v>
      </c>
      <c r="CA94" s="85">
        <v>45</v>
      </c>
      <c r="CB94" s="81">
        <v>114</v>
      </c>
      <c r="CC94" s="80">
        <v>52</v>
      </c>
      <c r="CD94" s="80">
        <v>62</v>
      </c>
      <c r="CE94" s="81">
        <v>91</v>
      </c>
      <c r="CF94" s="80">
        <v>41</v>
      </c>
      <c r="CG94" s="80">
        <v>50</v>
      </c>
      <c r="CH94" s="81">
        <v>143</v>
      </c>
      <c r="CI94" s="80">
        <v>67</v>
      </c>
      <c r="CJ94" s="80">
        <v>76</v>
      </c>
      <c r="CK94" s="81">
        <v>214</v>
      </c>
      <c r="CL94" s="84">
        <v>96</v>
      </c>
      <c r="CM94" s="84">
        <v>118</v>
      </c>
      <c r="CN94" s="81">
        <v>193</v>
      </c>
      <c r="CO94" s="80">
        <v>110</v>
      </c>
      <c r="CP94" s="80">
        <v>83</v>
      </c>
      <c r="CQ94" s="81">
        <v>97</v>
      </c>
      <c r="CR94" s="80">
        <v>54</v>
      </c>
      <c r="CS94" s="80">
        <v>43</v>
      </c>
      <c r="CT94" s="81">
        <v>92</v>
      </c>
      <c r="CU94" s="80">
        <v>50</v>
      </c>
      <c r="CV94" s="80">
        <v>42</v>
      </c>
      <c r="CW94" s="81">
        <v>99</v>
      </c>
      <c r="CX94" s="80">
        <v>50</v>
      </c>
      <c r="CY94" s="80">
        <v>49</v>
      </c>
    </row>
    <row r="95" spans="1:103" ht="18.75" customHeight="1" x14ac:dyDescent="0.15">
      <c r="A95" s="87" t="s">
        <v>84</v>
      </c>
      <c r="B95" s="83">
        <v>3372</v>
      </c>
      <c r="C95" s="83">
        <v>1563</v>
      </c>
      <c r="D95" s="83">
        <v>1809</v>
      </c>
      <c r="E95" s="81">
        <v>1693</v>
      </c>
      <c r="F95" s="81">
        <v>771</v>
      </c>
      <c r="G95" s="81">
        <v>922</v>
      </c>
      <c r="H95" s="83">
        <v>122</v>
      </c>
      <c r="I95" s="84">
        <v>61</v>
      </c>
      <c r="J95" s="84">
        <v>61</v>
      </c>
      <c r="K95" s="83">
        <v>166</v>
      </c>
      <c r="L95" s="86">
        <v>73</v>
      </c>
      <c r="M95" s="86">
        <v>93</v>
      </c>
      <c r="N95" s="83">
        <v>145</v>
      </c>
      <c r="O95" s="81">
        <v>67</v>
      </c>
      <c r="P95" s="81">
        <v>78</v>
      </c>
      <c r="Q95" s="83">
        <v>54</v>
      </c>
      <c r="R95" s="82">
        <v>22</v>
      </c>
      <c r="S95" s="82">
        <v>32</v>
      </c>
      <c r="T95" s="83">
        <v>98</v>
      </c>
      <c r="U95" s="80">
        <v>43</v>
      </c>
      <c r="V95" s="80">
        <v>55</v>
      </c>
      <c r="W95" s="83">
        <v>137</v>
      </c>
      <c r="X95" s="84">
        <v>55</v>
      </c>
      <c r="Y95" s="84">
        <v>82</v>
      </c>
      <c r="Z95" s="83">
        <v>90</v>
      </c>
      <c r="AA95" s="84">
        <v>43</v>
      </c>
      <c r="AB95" s="84">
        <v>47</v>
      </c>
      <c r="AC95" s="83">
        <v>69</v>
      </c>
      <c r="AD95" s="81">
        <v>28</v>
      </c>
      <c r="AE95" s="81">
        <v>41</v>
      </c>
      <c r="AF95" s="83">
        <v>156</v>
      </c>
      <c r="AG95" s="80">
        <v>72</v>
      </c>
      <c r="AH95" s="80">
        <v>84</v>
      </c>
      <c r="AI95" s="83">
        <v>150</v>
      </c>
      <c r="AJ95" s="80">
        <v>79</v>
      </c>
      <c r="AK95" s="80">
        <v>71</v>
      </c>
      <c r="AL95" s="83">
        <v>199</v>
      </c>
      <c r="AM95" s="84">
        <v>79</v>
      </c>
      <c r="AN95" s="84">
        <v>120</v>
      </c>
      <c r="AO95" s="83">
        <v>78</v>
      </c>
      <c r="AP95" s="81">
        <v>39</v>
      </c>
      <c r="AQ95" s="81">
        <v>39</v>
      </c>
      <c r="AR95" s="83">
        <v>134</v>
      </c>
      <c r="AS95" s="80">
        <v>63</v>
      </c>
      <c r="AT95" s="80">
        <v>71</v>
      </c>
      <c r="AU95" s="83">
        <v>95</v>
      </c>
      <c r="AV95" s="84">
        <v>47</v>
      </c>
      <c r="AW95" s="84">
        <v>48</v>
      </c>
      <c r="AX95" s="81">
        <v>1679</v>
      </c>
      <c r="AY95" s="81">
        <v>792</v>
      </c>
      <c r="AZ95" s="81">
        <v>887</v>
      </c>
      <c r="BA95" s="81">
        <v>148</v>
      </c>
      <c r="BB95" s="84">
        <v>80</v>
      </c>
      <c r="BC95" s="84">
        <v>68</v>
      </c>
      <c r="BD95" s="81">
        <v>58</v>
      </c>
      <c r="BE95" s="80">
        <v>24</v>
      </c>
      <c r="BF95" s="80">
        <v>34</v>
      </c>
      <c r="BG95" s="81">
        <v>113</v>
      </c>
      <c r="BH95" s="81">
        <v>49</v>
      </c>
      <c r="BI95" s="81">
        <v>64</v>
      </c>
      <c r="BJ95" s="81">
        <v>106</v>
      </c>
      <c r="BK95" s="80">
        <v>57</v>
      </c>
      <c r="BL95" s="80">
        <v>49</v>
      </c>
      <c r="BM95" s="81">
        <v>55</v>
      </c>
      <c r="BN95" s="81">
        <v>24</v>
      </c>
      <c r="BO95" s="81">
        <v>31</v>
      </c>
      <c r="BP95" s="81">
        <v>242</v>
      </c>
      <c r="BQ95" s="80">
        <v>106</v>
      </c>
      <c r="BR95" s="80">
        <v>136</v>
      </c>
      <c r="BS95" s="81">
        <v>108</v>
      </c>
      <c r="BT95" s="80">
        <v>50</v>
      </c>
      <c r="BU95" s="80">
        <v>58</v>
      </c>
      <c r="BV95" s="81">
        <v>103</v>
      </c>
      <c r="BW95" s="80">
        <v>46</v>
      </c>
      <c r="BX95" s="80">
        <v>57</v>
      </c>
      <c r="BY95" s="81">
        <v>78</v>
      </c>
      <c r="BZ95" s="85">
        <v>36</v>
      </c>
      <c r="CA95" s="85">
        <v>42</v>
      </c>
      <c r="CB95" s="81">
        <v>78</v>
      </c>
      <c r="CC95" s="80">
        <v>39</v>
      </c>
      <c r="CD95" s="80">
        <v>39</v>
      </c>
      <c r="CE95" s="81">
        <v>38</v>
      </c>
      <c r="CF95" s="80">
        <v>20</v>
      </c>
      <c r="CG95" s="80">
        <v>18</v>
      </c>
      <c r="CH95" s="81">
        <v>97</v>
      </c>
      <c r="CI95" s="80">
        <v>48</v>
      </c>
      <c r="CJ95" s="80">
        <v>49</v>
      </c>
      <c r="CK95" s="81">
        <v>136</v>
      </c>
      <c r="CL95" s="84">
        <v>57</v>
      </c>
      <c r="CM95" s="84">
        <v>79</v>
      </c>
      <c r="CN95" s="81">
        <v>142</v>
      </c>
      <c r="CO95" s="80">
        <v>78</v>
      </c>
      <c r="CP95" s="80">
        <v>64</v>
      </c>
      <c r="CQ95" s="81">
        <v>63</v>
      </c>
      <c r="CR95" s="80">
        <v>23</v>
      </c>
      <c r="CS95" s="80">
        <v>40</v>
      </c>
      <c r="CT95" s="81">
        <v>57</v>
      </c>
      <c r="CU95" s="80">
        <v>31</v>
      </c>
      <c r="CV95" s="80">
        <v>26</v>
      </c>
      <c r="CW95" s="81">
        <v>57</v>
      </c>
      <c r="CX95" s="80">
        <v>24</v>
      </c>
      <c r="CY95" s="80">
        <v>33</v>
      </c>
    </row>
    <row r="96" spans="1:103" ht="18.75" customHeight="1" x14ac:dyDescent="0.15">
      <c r="A96" s="57" t="s">
        <v>185</v>
      </c>
      <c r="B96" s="78">
        <v>16880</v>
      </c>
      <c r="C96" s="78">
        <v>7775</v>
      </c>
      <c r="D96" s="78">
        <v>9105</v>
      </c>
      <c r="E96" s="78">
        <v>8593</v>
      </c>
      <c r="F96" s="78">
        <v>4010</v>
      </c>
      <c r="G96" s="78">
        <v>4583</v>
      </c>
      <c r="H96" s="78">
        <v>556</v>
      </c>
      <c r="I96" s="78">
        <v>268</v>
      </c>
      <c r="J96" s="78">
        <v>288</v>
      </c>
      <c r="K96" s="78">
        <v>802</v>
      </c>
      <c r="L96" s="78">
        <v>388</v>
      </c>
      <c r="M96" s="78">
        <v>414</v>
      </c>
      <c r="N96" s="78">
        <v>652</v>
      </c>
      <c r="O96" s="78">
        <v>281</v>
      </c>
      <c r="P96" s="78">
        <v>371</v>
      </c>
      <c r="Q96" s="78">
        <v>311</v>
      </c>
      <c r="R96" s="78">
        <v>124</v>
      </c>
      <c r="S96" s="78">
        <v>187</v>
      </c>
      <c r="T96" s="78">
        <v>518</v>
      </c>
      <c r="U96" s="78">
        <v>238</v>
      </c>
      <c r="V96" s="78">
        <v>280</v>
      </c>
      <c r="W96" s="78">
        <v>783</v>
      </c>
      <c r="X96" s="78">
        <v>378</v>
      </c>
      <c r="Y96" s="78">
        <v>405</v>
      </c>
      <c r="Z96" s="78">
        <v>355</v>
      </c>
      <c r="AA96" s="78">
        <v>152</v>
      </c>
      <c r="AB96" s="78">
        <v>203</v>
      </c>
      <c r="AC96" s="78">
        <v>334</v>
      </c>
      <c r="AD96" s="78">
        <v>158</v>
      </c>
      <c r="AE96" s="78">
        <v>176</v>
      </c>
      <c r="AF96" s="78">
        <v>753</v>
      </c>
      <c r="AG96" s="78">
        <v>358</v>
      </c>
      <c r="AH96" s="78">
        <v>395</v>
      </c>
      <c r="AI96" s="78">
        <v>769</v>
      </c>
      <c r="AJ96" s="78">
        <v>377</v>
      </c>
      <c r="AK96" s="78">
        <v>392</v>
      </c>
      <c r="AL96" s="78">
        <v>1111</v>
      </c>
      <c r="AM96" s="78">
        <v>515</v>
      </c>
      <c r="AN96" s="78">
        <v>596</v>
      </c>
      <c r="AO96" s="78">
        <v>420</v>
      </c>
      <c r="AP96" s="78">
        <v>196</v>
      </c>
      <c r="AQ96" s="78">
        <v>224</v>
      </c>
      <c r="AR96" s="78">
        <v>671</v>
      </c>
      <c r="AS96" s="78">
        <v>295</v>
      </c>
      <c r="AT96" s="78">
        <v>376</v>
      </c>
      <c r="AU96" s="78">
        <v>558</v>
      </c>
      <c r="AV96" s="78">
        <v>282</v>
      </c>
      <c r="AW96" s="78">
        <v>276</v>
      </c>
      <c r="AX96" s="78">
        <v>8287</v>
      </c>
      <c r="AY96" s="78">
        <v>3765</v>
      </c>
      <c r="AZ96" s="78">
        <v>4522</v>
      </c>
      <c r="BA96" s="78">
        <v>686</v>
      </c>
      <c r="BB96" s="78">
        <v>330</v>
      </c>
      <c r="BC96" s="78">
        <v>356</v>
      </c>
      <c r="BD96" s="78">
        <v>368</v>
      </c>
      <c r="BE96" s="78">
        <v>176</v>
      </c>
      <c r="BF96" s="78">
        <v>192</v>
      </c>
      <c r="BG96" s="78">
        <v>535</v>
      </c>
      <c r="BH96" s="78">
        <v>255</v>
      </c>
      <c r="BI96" s="78">
        <v>280</v>
      </c>
      <c r="BJ96" s="78">
        <v>480</v>
      </c>
      <c r="BK96" s="78">
        <v>203</v>
      </c>
      <c r="BL96" s="78">
        <v>277</v>
      </c>
      <c r="BM96" s="78">
        <v>276</v>
      </c>
      <c r="BN96" s="78">
        <v>84</v>
      </c>
      <c r="BO96" s="78">
        <v>192</v>
      </c>
      <c r="BP96" s="78">
        <v>1261</v>
      </c>
      <c r="BQ96" s="78">
        <v>572</v>
      </c>
      <c r="BR96" s="78">
        <v>689</v>
      </c>
      <c r="BS96" s="78">
        <v>545</v>
      </c>
      <c r="BT96" s="78">
        <v>252</v>
      </c>
      <c r="BU96" s="78">
        <v>293</v>
      </c>
      <c r="BV96" s="78">
        <v>516</v>
      </c>
      <c r="BW96" s="78">
        <v>197</v>
      </c>
      <c r="BX96" s="78">
        <v>319</v>
      </c>
      <c r="BY96" s="78">
        <v>325</v>
      </c>
      <c r="BZ96" s="78">
        <v>156</v>
      </c>
      <c r="CA96" s="78">
        <v>169</v>
      </c>
      <c r="CB96" s="78">
        <v>372</v>
      </c>
      <c r="CC96" s="78">
        <v>159</v>
      </c>
      <c r="CD96" s="78">
        <v>213</v>
      </c>
      <c r="CE96" s="78">
        <v>290</v>
      </c>
      <c r="CF96" s="78">
        <v>125</v>
      </c>
      <c r="CG96" s="78">
        <v>165</v>
      </c>
      <c r="CH96" s="78">
        <v>373</v>
      </c>
      <c r="CI96" s="78">
        <v>182</v>
      </c>
      <c r="CJ96" s="78">
        <v>191</v>
      </c>
      <c r="CK96" s="78">
        <v>654</v>
      </c>
      <c r="CL96" s="78">
        <v>298</v>
      </c>
      <c r="CM96" s="78">
        <v>356</v>
      </c>
      <c r="CN96" s="78">
        <v>595</v>
      </c>
      <c r="CO96" s="78">
        <v>304</v>
      </c>
      <c r="CP96" s="78">
        <v>291</v>
      </c>
      <c r="CQ96" s="78">
        <v>336</v>
      </c>
      <c r="CR96" s="78">
        <v>139</v>
      </c>
      <c r="CS96" s="78">
        <v>197</v>
      </c>
      <c r="CT96" s="78">
        <v>345</v>
      </c>
      <c r="CU96" s="78">
        <v>164</v>
      </c>
      <c r="CV96" s="78">
        <v>181</v>
      </c>
      <c r="CW96" s="78">
        <v>330</v>
      </c>
      <c r="CX96" s="78">
        <v>169</v>
      </c>
      <c r="CY96" s="78">
        <v>161</v>
      </c>
    </row>
    <row r="97" spans="1:103" ht="18.75" customHeight="1" x14ac:dyDescent="0.15">
      <c r="A97" s="87" t="s">
        <v>82</v>
      </c>
      <c r="B97" s="83">
        <v>3751</v>
      </c>
      <c r="C97" s="83">
        <v>1807</v>
      </c>
      <c r="D97" s="83">
        <v>1944</v>
      </c>
      <c r="E97" s="81">
        <v>1894</v>
      </c>
      <c r="F97" s="81">
        <v>915</v>
      </c>
      <c r="G97" s="81">
        <v>979</v>
      </c>
      <c r="H97" s="83">
        <v>132</v>
      </c>
      <c r="I97" s="84">
        <v>60</v>
      </c>
      <c r="J97" s="84">
        <v>72</v>
      </c>
      <c r="K97" s="83">
        <v>176</v>
      </c>
      <c r="L97" s="86">
        <v>93</v>
      </c>
      <c r="M97" s="86">
        <v>83</v>
      </c>
      <c r="N97" s="83">
        <v>142</v>
      </c>
      <c r="O97" s="81">
        <v>58</v>
      </c>
      <c r="P97" s="81">
        <v>84</v>
      </c>
      <c r="Q97" s="83">
        <v>64</v>
      </c>
      <c r="R97" s="82">
        <v>23</v>
      </c>
      <c r="S97" s="82">
        <v>41</v>
      </c>
      <c r="T97" s="83">
        <v>101</v>
      </c>
      <c r="U97" s="80">
        <v>45</v>
      </c>
      <c r="V97" s="80">
        <v>56</v>
      </c>
      <c r="W97" s="83">
        <v>184</v>
      </c>
      <c r="X97" s="84">
        <v>97</v>
      </c>
      <c r="Y97" s="84">
        <v>87</v>
      </c>
      <c r="Z97" s="83">
        <v>86</v>
      </c>
      <c r="AA97" s="84">
        <v>46</v>
      </c>
      <c r="AB97" s="84">
        <v>40</v>
      </c>
      <c r="AC97" s="83">
        <v>78</v>
      </c>
      <c r="AD97" s="81">
        <v>41</v>
      </c>
      <c r="AE97" s="81">
        <v>37</v>
      </c>
      <c r="AF97" s="83">
        <v>169</v>
      </c>
      <c r="AG97" s="80">
        <v>77</v>
      </c>
      <c r="AH97" s="80">
        <v>92</v>
      </c>
      <c r="AI97" s="83">
        <v>151</v>
      </c>
      <c r="AJ97" s="80">
        <v>81</v>
      </c>
      <c r="AK97" s="80">
        <v>70</v>
      </c>
      <c r="AL97" s="83">
        <v>243</v>
      </c>
      <c r="AM97" s="84">
        <v>110</v>
      </c>
      <c r="AN97" s="84">
        <v>133</v>
      </c>
      <c r="AO97" s="83">
        <v>106</v>
      </c>
      <c r="AP97" s="81">
        <v>60</v>
      </c>
      <c r="AQ97" s="81">
        <v>46</v>
      </c>
      <c r="AR97" s="83">
        <v>137</v>
      </c>
      <c r="AS97" s="80">
        <v>59</v>
      </c>
      <c r="AT97" s="80">
        <v>78</v>
      </c>
      <c r="AU97" s="83">
        <v>125</v>
      </c>
      <c r="AV97" s="84">
        <v>65</v>
      </c>
      <c r="AW97" s="84">
        <v>60</v>
      </c>
      <c r="AX97" s="81">
        <v>1857</v>
      </c>
      <c r="AY97" s="81">
        <v>892</v>
      </c>
      <c r="AZ97" s="81">
        <v>965</v>
      </c>
      <c r="BA97" s="81">
        <v>153</v>
      </c>
      <c r="BB97" s="84">
        <v>83</v>
      </c>
      <c r="BC97" s="84">
        <v>70</v>
      </c>
      <c r="BD97" s="81">
        <v>70</v>
      </c>
      <c r="BE97" s="80">
        <v>32</v>
      </c>
      <c r="BF97" s="80">
        <v>38</v>
      </c>
      <c r="BG97" s="81">
        <v>126</v>
      </c>
      <c r="BH97" s="81">
        <v>68</v>
      </c>
      <c r="BI97" s="81">
        <v>58</v>
      </c>
      <c r="BJ97" s="81">
        <v>114</v>
      </c>
      <c r="BK97" s="80">
        <v>44</v>
      </c>
      <c r="BL97" s="80">
        <v>70</v>
      </c>
      <c r="BM97" s="81">
        <v>71</v>
      </c>
      <c r="BN97" s="81">
        <v>22</v>
      </c>
      <c r="BO97" s="81">
        <v>49</v>
      </c>
      <c r="BP97" s="81">
        <v>256</v>
      </c>
      <c r="BQ97" s="80">
        <v>117</v>
      </c>
      <c r="BR97" s="80">
        <v>139</v>
      </c>
      <c r="BS97" s="81">
        <v>116</v>
      </c>
      <c r="BT97" s="80">
        <v>62</v>
      </c>
      <c r="BU97" s="80">
        <v>54</v>
      </c>
      <c r="BV97" s="81">
        <v>104</v>
      </c>
      <c r="BW97" s="80">
        <v>48</v>
      </c>
      <c r="BX97" s="80">
        <v>56</v>
      </c>
      <c r="BY97" s="81">
        <v>76</v>
      </c>
      <c r="BZ97" s="85">
        <v>48</v>
      </c>
      <c r="CA97" s="85">
        <v>28</v>
      </c>
      <c r="CB97" s="81">
        <v>79</v>
      </c>
      <c r="CC97" s="80">
        <v>37</v>
      </c>
      <c r="CD97" s="80">
        <v>42</v>
      </c>
      <c r="CE97" s="81">
        <v>63</v>
      </c>
      <c r="CF97" s="80">
        <v>28</v>
      </c>
      <c r="CG97" s="80">
        <v>35</v>
      </c>
      <c r="CH97" s="81">
        <v>91</v>
      </c>
      <c r="CI97" s="80">
        <v>45</v>
      </c>
      <c r="CJ97" s="80">
        <v>46</v>
      </c>
      <c r="CK97" s="81">
        <v>164</v>
      </c>
      <c r="CL97" s="84">
        <v>62</v>
      </c>
      <c r="CM97" s="84">
        <v>102</v>
      </c>
      <c r="CN97" s="81">
        <v>144</v>
      </c>
      <c r="CO97" s="80">
        <v>74</v>
      </c>
      <c r="CP97" s="80">
        <v>70</v>
      </c>
      <c r="CQ97" s="81">
        <v>61</v>
      </c>
      <c r="CR97" s="80">
        <v>30</v>
      </c>
      <c r="CS97" s="80">
        <v>31</v>
      </c>
      <c r="CT97" s="81">
        <v>88</v>
      </c>
      <c r="CU97" s="80">
        <v>44</v>
      </c>
      <c r="CV97" s="80">
        <v>44</v>
      </c>
      <c r="CW97" s="81">
        <v>81</v>
      </c>
      <c r="CX97" s="80">
        <v>48</v>
      </c>
      <c r="CY97" s="80">
        <v>33</v>
      </c>
    </row>
    <row r="98" spans="1:103" ht="18.75" customHeight="1" x14ac:dyDescent="0.15">
      <c r="A98" s="87" t="s">
        <v>81</v>
      </c>
      <c r="B98" s="83">
        <v>3507</v>
      </c>
      <c r="C98" s="83">
        <v>1649</v>
      </c>
      <c r="D98" s="83">
        <v>1858</v>
      </c>
      <c r="E98" s="81">
        <v>1783</v>
      </c>
      <c r="F98" s="81">
        <v>859</v>
      </c>
      <c r="G98" s="81">
        <v>924</v>
      </c>
      <c r="H98" s="83">
        <v>129</v>
      </c>
      <c r="I98" s="84">
        <v>64</v>
      </c>
      <c r="J98" s="84">
        <v>65</v>
      </c>
      <c r="K98" s="83">
        <v>146</v>
      </c>
      <c r="L98" s="86">
        <v>77</v>
      </c>
      <c r="M98" s="86">
        <v>69</v>
      </c>
      <c r="N98" s="83">
        <v>135</v>
      </c>
      <c r="O98" s="81">
        <v>58</v>
      </c>
      <c r="P98" s="81">
        <v>77</v>
      </c>
      <c r="Q98" s="83">
        <v>69</v>
      </c>
      <c r="R98" s="82">
        <v>31</v>
      </c>
      <c r="S98" s="82">
        <v>38</v>
      </c>
      <c r="T98" s="83">
        <v>118</v>
      </c>
      <c r="U98" s="80">
        <v>51</v>
      </c>
      <c r="V98" s="80">
        <v>67</v>
      </c>
      <c r="W98" s="83">
        <v>149</v>
      </c>
      <c r="X98" s="84">
        <v>75</v>
      </c>
      <c r="Y98" s="84">
        <v>74</v>
      </c>
      <c r="Z98" s="83">
        <v>79</v>
      </c>
      <c r="AA98" s="84">
        <v>38</v>
      </c>
      <c r="AB98" s="84">
        <v>41</v>
      </c>
      <c r="AC98" s="83">
        <v>84</v>
      </c>
      <c r="AD98" s="81">
        <v>33</v>
      </c>
      <c r="AE98" s="81">
        <v>51</v>
      </c>
      <c r="AF98" s="83">
        <v>161</v>
      </c>
      <c r="AG98" s="80">
        <v>77</v>
      </c>
      <c r="AH98" s="80">
        <v>84</v>
      </c>
      <c r="AI98" s="83">
        <v>164</v>
      </c>
      <c r="AJ98" s="80">
        <v>97</v>
      </c>
      <c r="AK98" s="80">
        <v>67</v>
      </c>
      <c r="AL98" s="83">
        <v>193</v>
      </c>
      <c r="AM98" s="84">
        <v>93</v>
      </c>
      <c r="AN98" s="84">
        <v>100</v>
      </c>
      <c r="AO98" s="83">
        <v>81</v>
      </c>
      <c r="AP98" s="81">
        <v>40</v>
      </c>
      <c r="AQ98" s="81">
        <v>41</v>
      </c>
      <c r="AR98" s="83">
        <v>146</v>
      </c>
      <c r="AS98" s="80">
        <v>62</v>
      </c>
      <c r="AT98" s="80">
        <v>84</v>
      </c>
      <c r="AU98" s="83">
        <v>129</v>
      </c>
      <c r="AV98" s="84">
        <v>63</v>
      </c>
      <c r="AW98" s="84">
        <v>66</v>
      </c>
      <c r="AX98" s="81">
        <v>1724</v>
      </c>
      <c r="AY98" s="81">
        <v>790</v>
      </c>
      <c r="AZ98" s="81">
        <v>934</v>
      </c>
      <c r="BA98" s="81">
        <v>139</v>
      </c>
      <c r="BB98" s="84">
        <v>68</v>
      </c>
      <c r="BC98" s="84">
        <v>71</v>
      </c>
      <c r="BD98" s="81">
        <v>84</v>
      </c>
      <c r="BE98" s="80">
        <v>40</v>
      </c>
      <c r="BF98" s="80">
        <v>44</v>
      </c>
      <c r="BG98" s="81">
        <v>107</v>
      </c>
      <c r="BH98" s="81">
        <v>50</v>
      </c>
      <c r="BI98" s="81">
        <v>57</v>
      </c>
      <c r="BJ98" s="81">
        <v>108</v>
      </c>
      <c r="BK98" s="80">
        <v>49</v>
      </c>
      <c r="BL98" s="80">
        <v>59</v>
      </c>
      <c r="BM98" s="81">
        <v>62</v>
      </c>
      <c r="BN98" s="81">
        <v>22</v>
      </c>
      <c r="BO98" s="81">
        <v>40</v>
      </c>
      <c r="BP98" s="81">
        <v>266</v>
      </c>
      <c r="BQ98" s="80">
        <v>125</v>
      </c>
      <c r="BR98" s="80">
        <v>141</v>
      </c>
      <c r="BS98" s="81">
        <v>118</v>
      </c>
      <c r="BT98" s="80">
        <v>58</v>
      </c>
      <c r="BU98" s="80">
        <v>60</v>
      </c>
      <c r="BV98" s="81">
        <v>112</v>
      </c>
      <c r="BW98" s="80">
        <v>34</v>
      </c>
      <c r="BX98" s="80">
        <v>78</v>
      </c>
      <c r="BY98" s="81">
        <v>61</v>
      </c>
      <c r="BZ98" s="85">
        <v>27</v>
      </c>
      <c r="CA98" s="85">
        <v>34</v>
      </c>
      <c r="CB98" s="81">
        <v>75</v>
      </c>
      <c r="CC98" s="80">
        <v>30</v>
      </c>
      <c r="CD98" s="80">
        <v>45</v>
      </c>
      <c r="CE98" s="81">
        <v>60</v>
      </c>
      <c r="CF98" s="80">
        <v>32</v>
      </c>
      <c r="CG98" s="80">
        <v>28</v>
      </c>
      <c r="CH98" s="81">
        <v>80</v>
      </c>
      <c r="CI98" s="80">
        <v>40</v>
      </c>
      <c r="CJ98" s="80">
        <v>40</v>
      </c>
      <c r="CK98" s="81">
        <v>131</v>
      </c>
      <c r="CL98" s="84">
        <v>66</v>
      </c>
      <c r="CM98" s="84">
        <v>65</v>
      </c>
      <c r="CN98" s="81">
        <v>128</v>
      </c>
      <c r="CO98" s="80">
        <v>67</v>
      </c>
      <c r="CP98" s="80">
        <v>61</v>
      </c>
      <c r="CQ98" s="81">
        <v>60</v>
      </c>
      <c r="CR98" s="80">
        <v>15</v>
      </c>
      <c r="CS98" s="80">
        <v>45</v>
      </c>
      <c r="CT98" s="81">
        <v>67</v>
      </c>
      <c r="CU98" s="80">
        <v>32</v>
      </c>
      <c r="CV98" s="80">
        <v>35</v>
      </c>
      <c r="CW98" s="81">
        <v>66</v>
      </c>
      <c r="CX98" s="80">
        <v>35</v>
      </c>
      <c r="CY98" s="80">
        <v>31</v>
      </c>
    </row>
    <row r="99" spans="1:103" ht="18.75" customHeight="1" x14ac:dyDescent="0.15">
      <c r="A99" s="87" t="s">
        <v>80</v>
      </c>
      <c r="B99" s="83">
        <v>3425</v>
      </c>
      <c r="C99" s="83">
        <v>1569</v>
      </c>
      <c r="D99" s="83">
        <v>1856</v>
      </c>
      <c r="E99" s="81">
        <v>1745</v>
      </c>
      <c r="F99" s="81">
        <v>803</v>
      </c>
      <c r="G99" s="81">
        <v>942</v>
      </c>
      <c r="H99" s="83">
        <v>97</v>
      </c>
      <c r="I99" s="84">
        <v>52</v>
      </c>
      <c r="J99" s="84">
        <v>45</v>
      </c>
      <c r="K99" s="83">
        <v>174</v>
      </c>
      <c r="L99" s="86">
        <v>79</v>
      </c>
      <c r="M99" s="86">
        <v>95</v>
      </c>
      <c r="N99" s="83">
        <v>145</v>
      </c>
      <c r="O99" s="81">
        <v>57</v>
      </c>
      <c r="P99" s="81">
        <v>88</v>
      </c>
      <c r="Q99" s="83">
        <v>63</v>
      </c>
      <c r="R99" s="82">
        <v>24</v>
      </c>
      <c r="S99" s="82">
        <v>39</v>
      </c>
      <c r="T99" s="83">
        <v>106</v>
      </c>
      <c r="U99" s="80">
        <v>51</v>
      </c>
      <c r="V99" s="80">
        <v>55</v>
      </c>
      <c r="W99" s="83">
        <v>155</v>
      </c>
      <c r="X99" s="84">
        <v>71</v>
      </c>
      <c r="Y99" s="84">
        <v>84</v>
      </c>
      <c r="Z99" s="83">
        <v>79</v>
      </c>
      <c r="AA99" s="84">
        <v>32</v>
      </c>
      <c r="AB99" s="84">
        <v>47</v>
      </c>
      <c r="AC99" s="83">
        <v>54</v>
      </c>
      <c r="AD99" s="81">
        <v>27</v>
      </c>
      <c r="AE99" s="81">
        <v>27</v>
      </c>
      <c r="AF99" s="83">
        <v>163</v>
      </c>
      <c r="AG99" s="80">
        <v>89</v>
      </c>
      <c r="AH99" s="80">
        <v>74</v>
      </c>
      <c r="AI99" s="83">
        <v>149</v>
      </c>
      <c r="AJ99" s="80">
        <v>72</v>
      </c>
      <c r="AK99" s="80">
        <v>77</v>
      </c>
      <c r="AL99" s="83">
        <v>234</v>
      </c>
      <c r="AM99" s="84">
        <v>103</v>
      </c>
      <c r="AN99" s="84">
        <v>131</v>
      </c>
      <c r="AO99" s="83">
        <v>65</v>
      </c>
      <c r="AP99" s="81">
        <v>28</v>
      </c>
      <c r="AQ99" s="81">
        <v>37</v>
      </c>
      <c r="AR99" s="83">
        <v>144</v>
      </c>
      <c r="AS99" s="80">
        <v>61</v>
      </c>
      <c r="AT99" s="80">
        <v>83</v>
      </c>
      <c r="AU99" s="83">
        <v>117</v>
      </c>
      <c r="AV99" s="84">
        <v>57</v>
      </c>
      <c r="AW99" s="84">
        <v>60</v>
      </c>
      <c r="AX99" s="81">
        <v>1680</v>
      </c>
      <c r="AY99" s="81">
        <v>766</v>
      </c>
      <c r="AZ99" s="81">
        <v>914</v>
      </c>
      <c r="BA99" s="81">
        <v>137</v>
      </c>
      <c r="BB99" s="84">
        <v>65</v>
      </c>
      <c r="BC99" s="84">
        <v>72</v>
      </c>
      <c r="BD99" s="81">
        <v>70</v>
      </c>
      <c r="BE99" s="80">
        <v>31</v>
      </c>
      <c r="BF99" s="80">
        <v>39</v>
      </c>
      <c r="BG99" s="81">
        <v>96</v>
      </c>
      <c r="BH99" s="81">
        <v>47</v>
      </c>
      <c r="BI99" s="81">
        <v>49</v>
      </c>
      <c r="BJ99" s="81">
        <v>95</v>
      </c>
      <c r="BK99" s="80">
        <v>40</v>
      </c>
      <c r="BL99" s="80">
        <v>55</v>
      </c>
      <c r="BM99" s="81">
        <v>50</v>
      </c>
      <c r="BN99" s="81">
        <v>16</v>
      </c>
      <c r="BO99" s="81">
        <v>34</v>
      </c>
      <c r="BP99" s="81">
        <v>270</v>
      </c>
      <c r="BQ99" s="80">
        <v>113</v>
      </c>
      <c r="BR99" s="80">
        <v>157</v>
      </c>
      <c r="BS99" s="81">
        <v>125</v>
      </c>
      <c r="BT99" s="80">
        <v>55</v>
      </c>
      <c r="BU99" s="80">
        <v>70</v>
      </c>
      <c r="BV99" s="81">
        <v>110</v>
      </c>
      <c r="BW99" s="80">
        <v>44</v>
      </c>
      <c r="BX99" s="80">
        <v>66</v>
      </c>
      <c r="BY99" s="81">
        <v>72</v>
      </c>
      <c r="BZ99" s="85">
        <v>31</v>
      </c>
      <c r="CA99" s="85">
        <v>41</v>
      </c>
      <c r="CB99" s="81">
        <v>80</v>
      </c>
      <c r="CC99" s="80">
        <v>43</v>
      </c>
      <c r="CD99" s="80">
        <v>37</v>
      </c>
      <c r="CE99" s="81">
        <v>56</v>
      </c>
      <c r="CF99" s="80">
        <v>22</v>
      </c>
      <c r="CG99" s="80">
        <v>34</v>
      </c>
      <c r="CH99" s="81">
        <v>67</v>
      </c>
      <c r="CI99" s="80">
        <v>37</v>
      </c>
      <c r="CJ99" s="80">
        <v>30</v>
      </c>
      <c r="CK99" s="81">
        <v>130</v>
      </c>
      <c r="CL99" s="84">
        <v>65</v>
      </c>
      <c r="CM99" s="84">
        <v>65</v>
      </c>
      <c r="CN99" s="81">
        <v>111</v>
      </c>
      <c r="CO99" s="80">
        <v>62</v>
      </c>
      <c r="CP99" s="80">
        <v>49</v>
      </c>
      <c r="CQ99" s="81">
        <v>70</v>
      </c>
      <c r="CR99" s="80">
        <v>27</v>
      </c>
      <c r="CS99" s="80">
        <v>43</v>
      </c>
      <c r="CT99" s="81">
        <v>66</v>
      </c>
      <c r="CU99" s="80">
        <v>28</v>
      </c>
      <c r="CV99" s="80">
        <v>38</v>
      </c>
      <c r="CW99" s="81">
        <v>75</v>
      </c>
      <c r="CX99" s="80">
        <v>40</v>
      </c>
      <c r="CY99" s="80">
        <v>35</v>
      </c>
    </row>
    <row r="100" spans="1:103" ht="18.75" customHeight="1" x14ac:dyDescent="0.15">
      <c r="A100" s="87" t="s">
        <v>79</v>
      </c>
      <c r="B100" s="83">
        <v>3464</v>
      </c>
      <c r="C100" s="83">
        <v>1535</v>
      </c>
      <c r="D100" s="83">
        <v>1929</v>
      </c>
      <c r="E100" s="81">
        <v>1785</v>
      </c>
      <c r="F100" s="81">
        <v>816</v>
      </c>
      <c r="G100" s="81">
        <v>969</v>
      </c>
      <c r="H100" s="83">
        <v>106</v>
      </c>
      <c r="I100" s="84">
        <v>46</v>
      </c>
      <c r="J100" s="84">
        <v>60</v>
      </c>
      <c r="K100" s="83">
        <v>174</v>
      </c>
      <c r="L100" s="86">
        <v>84</v>
      </c>
      <c r="M100" s="86">
        <v>90</v>
      </c>
      <c r="N100" s="83">
        <v>128</v>
      </c>
      <c r="O100" s="81">
        <v>58</v>
      </c>
      <c r="P100" s="81">
        <v>70</v>
      </c>
      <c r="Q100" s="83">
        <v>72</v>
      </c>
      <c r="R100" s="82">
        <v>27</v>
      </c>
      <c r="S100" s="82">
        <v>45</v>
      </c>
      <c r="T100" s="83">
        <v>100</v>
      </c>
      <c r="U100" s="80">
        <v>51</v>
      </c>
      <c r="V100" s="80">
        <v>49</v>
      </c>
      <c r="W100" s="83">
        <v>172</v>
      </c>
      <c r="X100" s="84">
        <v>83</v>
      </c>
      <c r="Y100" s="84">
        <v>89</v>
      </c>
      <c r="Z100" s="83">
        <v>59</v>
      </c>
      <c r="AA100" s="84">
        <v>23</v>
      </c>
      <c r="AB100" s="84">
        <v>36</v>
      </c>
      <c r="AC100" s="83">
        <v>70</v>
      </c>
      <c r="AD100" s="81">
        <v>38</v>
      </c>
      <c r="AE100" s="81">
        <v>32</v>
      </c>
      <c r="AF100" s="83">
        <v>138</v>
      </c>
      <c r="AG100" s="80">
        <v>62</v>
      </c>
      <c r="AH100" s="80">
        <v>76</v>
      </c>
      <c r="AI100" s="83">
        <v>168</v>
      </c>
      <c r="AJ100" s="80">
        <v>68</v>
      </c>
      <c r="AK100" s="80">
        <v>100</v>
      </c>
      <c r="AL100" s="83">
        <v>259</v>
      </c>
      <c r="AM100" s="84">
        <v>128</v>
      </c>
      <c r="AN100" s="84">
        <v>131</v>
      </c>
      <c r="AO100" s="83">
        <v>93</v>
      </c>
      <c r="AP100" s="81">
        <v>31</v>
      </c>
      <c r="AQ100" s="81">
        <v>62</v>
      </c>
      <c r="AR100" s="83">
        <v>137</v>
      </c>
      <c r="AS100" s="80">
        <v>63</v>
      </c>
      <c r="AT100" s="80">
        <v>74</v>
      </c>
      <c r="AU100" s="83">
        <v>109</v>
      </c>
      <c r="AV100" s="84">
        <v>54</v>
      </c>
      <c r="AW100" s="84">
        <v>55</v>
      </c>
      <c r="AX100" s="81">
        <v>1679</v>
      </c>
      <c r="AY100" s="81">
        <v>719</v>
      </c>
      <c r="AZ100" s="81">
        <v>960</v>
      </c>
      <c r="BA100" s="81">
        <v>148</v>
      </c>
      <c r="BB100" s="84">
        <v>65</v>
      </c>
      <c r="BC100" s="84">
        <v>83</v>
      </c>
      <c r="BD100" s="81">
        <v>83</v>
      </c>
      <c r="BE100" s="80">
        <v>43</v>
      </c>
      <c r="BF100" s="80">
        <v>40</v>
      </c>
      <c r="BG100" s="81">
        <v>107</v>
      </c>
      <c r="BH100" s="81">
        <v>48</v>
      </c>
      <c r="BI100" s="81">
        <v>59</v>
      </c>
      <c r="BJ100" s="81">
        <v>98</v>
      </c>
      <c r="BK100" s="80">
        <v>39</v>
      </c>
      <c r="BL100" s="80">
        <v>59</v>
      </c>
      <c r="BM100" s="81">
        <v>49</v>
      </c>
      <c r="BN100" s="81">
        <v>15</v>
      </c>
      <c r="BO100" s="81">
        <v>34</v>
      </c>
      <c r="BP100" s="81">
        <v>255</v>
      </c>
      <c r="BQ100" s="80">
        <v>110</v>
      </c>
      <c r="BR100" s="80">
        <v>145</v>
      </c>
      <c r="BS100" s="81">
        <v>88</v>
      </c>
      <c r="BT100" s="80">
        <v>37</v>
      </c>
      <c r="BU100" s="80">
        <v>51</v>
      </c>
      <c r="BV100" s="81">
        <v>105</v>
      </c>
      <c r="BW100" s="80">
        <v>36</v>
      </c>
      <c r="BX100" s="80">
        <v>69</v>
      </c>
      <c r="BY100" s="81">
        <v>60</v>
      </c>
      <c r="BZ100" s="85">
        <v>29</v>
      </c>
      <c r="CA100" s="85">
        <v>31</v>
      </c>
      <c r="CB100" s="81">
        <v>70</v>
      </c>
      <c r="CC100" s="80">
        <v>24</v>
      </c>
      <c r="CD100" s="80">
        <v>46</v>
      </c>
      <c r="CE100" s="81">
        <v>57</v>
      </c>
      <c r="CF100" s="80">
        <v>23</v>
      </c>
      <c r="CG100" s="80">
        <v>34</v>
      </c>
      <c r="CH100" s="81">
        <v>78</v>
      </c>
      <c r="CI100" s="80">
        <v>35</v>
      </c>
      <c r="CJ100" s="80">
        <v>43</v>
      </c>
      <c r="CK100" s="81">
        <v>142</v>
      </c>
      <c r="CL100" s="84">
        <v>62</v>
      </c>
      <c r="CM100" s="84">
        <v>80</v>
      </c>
      <c r="CN100" s="81">
        <v>118</v>
      </c>
      <c r="CO100" s="80">
        <v>48</v>
      </c>
      <c r="CP100" s="80">
        <v>70</v>
      </c>
      <c r="CQ100" s="81">
        <v>79</v>
      </c>
      <c r="CR100" s="80">
        <v>41</v>
      </c>
      <c r="CS100" s="80">
        <v>38</v>
      </c>
      <c r="CT100" s="81">
        <v>80</v>
      </c>
      <c r="CU100" s="80">
        <v>38</v>
      </c>
      <c r="CV100" s="80">
        <v>42</v>
      </c>
      <c r="CW100" s="81">
        <v>62</v>
      </c>
      <c r="CX100" s="80">
        <v>26</v>
      </c>
      <c r="CY100" s="80">
        <v>36</v>
      </c>
    </row>
    <row r="101" spans="1:103" ht="18.75" customHeight="1" x14ac:dyDescent="0.15">
      <c r="A101" s="87" t="s">
        <v>78</v>
      </c>
      <c r="B101" s="83">
        <v>2733</v>
      </c>
      <c r="C101" s="83">
        <v>1215</v>
      </c>
      <c r="D101" s="83">
        <v>1518</v>
      </c>
      <c r="E101" s="81">
        <v>1386</v>
      </c>
      <c r="F101" s="81">
        <v>617</v>
      </c>
      <c r="G101" s="81">
        <v>769</v>
      </c>
      <c r="H101" s="83">
        <v>92</v>
      </c>
      <c r="I101" s="84">
        <v>46</v>
      </c>
      <c r="J101" s="84">
        <v>46</v>
      </c>
      <c r="K101" s="83">
        <v>132</v>
      </c>
      <c r="L101" s="86">
        <v>55</v>
      </c>
      <c r="M101" s="86">
        <v>77</v>
      </c>
      <c r="N101" s="83">
        <v>102</v>
      </c>
      <c r="O101" s="81">
        <v>50</v>
      </c>
      <c r="P101" s="81">
        <v>52</v>
      </c>
      <c r="Q101" s="83">
        <v>43</v>
      </c>
      <c r="R101" s="82">
        <v>19</v>
      </c>
      <c r="S101" s="82">
        <v>24</v>
      </c>
      <c r="T101" s="83">
        <v>93</v>
      </c>
      <c r="U101" s="80">
        <v>40</v>
      </c>
      <c r="V101" s="80">
        <v>53</v>
      </c>
      <c r="W101" s="83">
        <v>123</v>
      </c>
      <c r="X101" s="84">
        <v>52</v>
      </c>
      <c r="Y101" s="84">
        <v>71</v>
      </c>
      <c r="Z101" s="83">
        <v>52</v>
      </c>
      <c r="AA101" s="84">
        <v>13</v>
      </c>
      <c r="AB101" s="84">
        <v>39</v>
      </c>
      <c r="AC101" s="83">
        <v>48</v>
      </c>
      <c r="AD101" s="81">
        <v>19</v>
      </c>
      <c r="AE101" s="81">
        <v>29</v>
      </c>
      <c r="AF101" s="83">
        <v>122</v>
      </c>
      <c r="AG101" s="80">
        <v>53</v>
      </c>
      <c r="AH101" s="80">
        <v>69</v>
      </c>
      <c r="AI101" s="83">
        <v>137</v>
      </c>
      <c r="AJ101" s="80">
        <v>59</v>
      </c>
      <c r="AK101" s="80">
        <v>78</v>
      </c>
      <c r="AL101" s="83">
        <v>182</v>
      </c>
      <c r="AM101" s="84">
        <v>81</v>
      </c>
      <c r="AN101" s="84">
        <v>101</v>
      </c>
      <c r="AO101" s="83">
        <v>75</v>
      </c>
      <c r="AP101" s="81">
        <v>37</v>
      </c>
      <c r="AQ101" s="81">
        <v>38</v>
      </c>
      <c r="AR101" s="83">
        <v>107</v>
      </c>
      <c r="AS101" s="80">
        <v>50</v>
      </c>
      <c r="AT101" s="80">
        <v>57</v>
      </c>
      <c r="AU101" s="83">
        <v>78</v>
      </c>
      <c r="AV101" s="84">
        <v>43</v>
      </c>
      <c r="AW101" s="84">
        <v>35</v>
      </c>
      <c r="AX101" s="81">
        <v>1347</v>
      </c>
      <c r="AY101" s="81">
        <v>598</v>
      </c>
      <c r="AZ101" s="81">
        <v>749</v>
      </c>
      <c r="BA101" s="81">
        <v>109</v>
      </c>
      <c r="BB101" s="84">
        <v>49</v>
      </c>
      <c r="BC101" s="84">
        <v>60</v>
      </c>
      <c r="BD101" s="81">
        <v>61</v>
      </c>
      <c r="BE101" s="80">
        <v>30</v>
      </c>
      <c r="BF101" s="80">
        <v>31</v>
      </c>
      <c r="BG101" s="81">
        <v>99</v>
      </c>
      <c r="BH101" s="81">
        <v>42</v>
      </c>
      <c r="BI101" s="81">
        <v>57</v>
      </c>
      <c r="BJ101" s="81">
        <v>65</v>
      </c>
      <c r="BK101" s="80">
        <v>31</v>
      </c>
      <c r="BL101" s="80">
        <v>34</v>
      </c>
      <c r="BM101" s="81">
        <v>44</v>
      </c>
      <c r="BN101" s="81">
        <v>9</v>
      </c>
      <c r="BO101" s="81">
        <v>35</v>
      </c>
      <c r="BP101" s="81">
        <v>214</v>
      </c>
      <c r="BQ101" s="80">
        <v>107</v>
      </c>
      <c r="BR101" s="80">
        <v>107</v>
      </c>
      <c r="BS101" s="81">
        <v>98</v>
      </c>
      <c r="BT101" s="80">
        <v>40</v>
      </c>
      <c r="BU101" s="80">
        <v>58</v>
      </c>
      <c r="BV101" s="81">
        <v>85</v>
      </c>
      <c r="BW101" s="80">
        <v>35</v>
      </c>
      <c r="BX101" s="80">
        <v>50</v>
      </c>
      <c r="BY101" s="81">
        <v>56</v>
      </c>
      <c r="BZ101" s="85">
        <v>21</v>
      </c>
      <c r="CA101" s="85">
        <v>35</v>
      </c>
      <c r="CB101" s="81">
        <v>68</v>
      </c>
      <c r="CC101" s="80">
        <v>25</v>
      </c>
      <c r="CD101" s="80">
        <v>43</v>
      </c>
      <c r="CE101" s="81">
        <v>54</v>
      </c>
      <c r="CF101" s="80">
        <v>20</v>
      </c>
      <c r="CG101" s="80">
        <v>34</v>
      </c>
      <c r="CH101" s="81">
        <v>57</v>
      </c>
      <c r="CI101" s="80">
        <v>25</v>
      </c>
      <c r="CJ101" s="80">
        <v>32</v>
      </c>
      <c r="CK101" s="81">
        <v>87</v>
      </c>
      <c r="CL101" s="84">
        <v>43</v>
      </c>
      <c r="CM101" s="84">
        <v>44</v>
      </c>
      <c r="CN101" s="81">
        <v>94</v>
      </c>
      <c r="CO101" s="80">
        <v>53</v>
      </c>
      <c r="CP101" s="80">
        <v>41</v>
      </c>
      <c r="CQ101" s="81">
        <v>66</v>
      </c>
      <c r="CR101" s="80">
        <v>26</v>
      </c>
      <c r="CS101" s="80">
        <v>40</v>
      </c>
      <c r="CT101" s="81">
        <v>44</v>
      </c>
      <c r="CU101" s="80">
        <v>22</v>
      </c>
      <c r="CV101" s="80">
        <v>22</v>
      </c>
      <c r="CW101" s="81">
        <v>46</v>
      </c>
      <c r="CX101" s="80">
        <v>20</v>
      </c>
      <c r="CY101" s="80">
        <v>26</v>
      </c>
    </row>
    <row r="102" spans="1:103" ht="18.75" customHeight="1" x14ac:dyDescent="0.15">
      <c r="A102" s="57" t="s">
        <v>184</v>
      </c>
      <c r="B102" s="78">
        <v>11199</v>
      </c>
      <c r="C102" s="78">
        <v>4492</v>
      </c>
      <c r="D102" s="78">
        <v>6707</v>
      </c>
      <c r="E102" s="78">
        <v>5720</v>
      </c>
      <c r="F102" s="78">
        <v>2346</v>
      </c>
      <c r="G102" s="78">
        <v>3374</v>
      </c>
      <c r="H102" s="78">
        <v>324</v>
      </c>
      <c r="I102" s="78">
        <v>152</v>
      </c>
      <c r="J102" s="78">
        <v>172</v>
      </c>
      <c r="K102" s="78">
        <v>591</v>
      </c>
      <c r="L102" s="78">
        <v>252</v>
      </c>
      <c r="M102" s="78">
        <v>339</v>
      </c>
      <c r="N102" s="78">
        <v>384</v>
      </c>
      <c r="O102" s="78">
        <v>146</v>
      </c>
      <c r="P102" s="78">
        <v>238</v>
      </c>
      <c r="Q102" s="78">
        <v>242</v>
      </c>
      <c r="R102" s="78">
        <v>86</v>
      </c>
      <c r="S102" s="78">
        <v>156</v>
      </c>
      <c r="T102" s="78">
        <v>413</v>
      </c>
      <c r="U102" s="78">
        <v>157</v>
      </c>
      <c r="V102" s="78">
        <v>256</v>
      </c>
      <c r="W102" s="78">
        <v>525</v>
      </c>
      <c r="X102" s="78">
        <v>234</v>
      </c>
      <c r="Y102" s="78">
        <v>291</v>
      </c>
      <c r="Z102" s="78">
        <v>254</v>
      </c>
      <c r="AA102" s="78">
        <v>109</v>
      </c>
      <c r="AB102" s="78">
        <v>145</v>
      </c>
      <c r="AC102" s="78">
        <v>225</v>
      </c>
      <c r="AD102" s="78">
        <v>89</v>
      </c>
      <c r="AE102" s="78">
        <v>136</v>
      </c>
      <c r="AF102" s="78">
        <v>497</v>
      </c>
      <c r="AG102" s="78">
        <v>192</v>
      </c>
      <c r="AH102" s="78">
        <v>305</v>
      </c>
      <c r="AI102" s="78">
        <v>457</v>
      </c>
      <c r="AJ102" s="78">
        <v>210</v>
      </c>
      <c r="AK102" s="78">
        <v>247</v>
      </c>
      <c r="AL102" s="78">
        <v>794</v>
      </c>
      <c r="AM102" s="78">
        <v>321</v>
      </c>
      <c r="AN102" s="78">
        <v>473</v>
      </c>
      <c r="AO102" s="78">
        <v>262</v>
      </c>
      <c r="AP102" s="78">
        <v>100</v>
      </c>
      <c r="AQ102" s="78">
        <v>162</v>
      </c>
      <c r="AR102" s="78">
        <v>464</v>
      </c>
      <c r="AS102" s="78">
        <v>185</v>
      </c>
      <c r="AT102" s="78">
        <v>279</v>
      </c>
      <c r="AU102" s="78">
        <v>288</v>
      </c>
      <c r="AV102" s="78">
        <v>113</v>
      </c>
      <c r="AW102" s="78">
        <v>175</v>
      </c>
      <c r="AX102" s="78">
        <v>5479</v>
      </c>
      <c r="AY102" s="78">
        <v>2146</v>
      </c>
      <c r="AZ102" s="78">
        <v>3333</v>
      </c>
      <c r="BA102" s="78">
        <v>406</v>
      </c>
      <c r="BB102" s="78">
        <v>169</v>
      </c>
      <c r="BC102" s="78">
        <v>237</v>
      </c>
      <c r="BD102" s="78">
        <v>221</v>
      </c>
      <c r="BE102" s="78">
        <v>92</v>
      </c>
      <c r="BF102" s="78">
        <v>129</v>
      </c>
      <c r="BG102" s="78">
        <v>359</v>
      </c>
      <c r="BH102" s="78">
        <v>131</v>
      </c>
      <c r="BI102" s="78">
        <v>228</v>
      </c>
      <c r="BJ102" s="78">
        <v>332</v>
      </c>
      <c r="BK102" s="78">
        <v>118</v>
      </c>
      <c r="BL102" s="78">
        <v>214</v>
      </c>
      <c r="BM102" s="78">
        <v>269</v>
      </c>
      <c r="BN102" s="78">
        <v>77</v>
      </c>
      <c r="BO102" s="78">
        <v>192</v>
      </c>
      <c r="BP102" s="78">
        <v>831</v>
      </c>
      <c r="BQ102" s="78">
        <v>311</v>
      </c>
      <c r="BR102" s="78">
        <v>520</v>
      </c>
      <c r="BS102" s="78">
        <v>408</v>
      </c>
      <c r="BT102" s="78">
        <v>173</v>
      </c>
      <c r="BU102" s="78">
        <v>235</v>
      </c>
      <c r="BV102" s="78">
        <v>401</v>
      </c>
      <c r="BW102" s="78">
        <v>136</v>
      </c>
      <c r="BX102" s="78">
        <v>265</v>
      </c>
      <c r="BY102" s="78">
        <v>221</v>
      </c>
      <c r="BZ102" s="78">
        <v>88</v>
      </c>
      <c r="CA102" s="78">
        <v>133</v>
      </c>
      <c r="CB102" s="78">
        <v>280</v>
      </c>
      <c r="CC102" s="78">
        <v>105</v>
      </c>
      <c r="CD102" s="78">
        <v>175</v>
      </c>
      <c r="CE102" s="78">
        <v>200</v>
      </c>
      <c r="CF102" s="78">
        <v>89</v>
      </c>
      <c r="CG102" s="78">
        <v>111</v>
      </c>
      <c r="CH102" s="78">
        <v>214</v>
      </c>
      <c r="CI102" s="78">
        <v>87</v>
      </c>
      <c r="CJ102" s="78">
        <v>127</v>
      </c>
      <c r="CK102" s="78">
        <v>395</v>
      </c>
      <c r="CL102" s="78">
        <v>162</v>
      </c>
      <c r="CM102" s="78">
        <v>233</v>
      </c>
      <c r="CN102" s="78">
        <v>328</v>
      </c>
      <c r="CO102" s="78">
        <v>140</v>
      </c>
      <c r="CP102" s="78">
        <v>188</v>
      </c>
      <c r="CQ102" s="78">
        <v>251</v>
      </c>
      <c r="CR102" s="78">
        <v>109</v>
      </c>
      <c r="CS102" s="78">
        <v>142</v>
      </c>
      <c r="CT102" s="78">
        <v>157</v>
      </c>
      <c r="CU102" s="78">
        <v>69</v>
      </c>
      <c r="CV102" s="78">
        <v>88</v>
      </c>
      <c r="CW102" s="78">
        <v>206</v>
      </c>
      <c r="CX102" s="78">
        <v>90</v>
      </c>
      <c r="CY102" s="78">
        <v>116</v>
      </c>
    </row>
    <row r="103" spans="1:103" ht="18.75" customHeight="1" x14ac:dyDescent="0.15">
      <c r="A103" s="87" t="s">
        <v>76</v>
      </c>
      <c r="B103" s="83">
        <v>2286</v>
      </c>
      <c r="C103" s="83">
        <v>961</v>
      </c>
      <c r="D103" s="83">
        <v>1325</v>
      </c>
      <c r="E103" s="81">
        <v>1183</v>
      </c>
      <c r="F103" s="81">
        <v>481</v>
      </c>
      <c r="G103" s="81">
        <v>702</v>
      </c>
      <c r="H103" s="83">
        <v>68</v>
      </c>
      <c r="I103" s="84">
        <v>27</v>
      </c>
      <c r="J103" s="84">
        <v>41</v>
      </c>
      <c r="K103" s="83">
        <v>108</v>
      </c>
      <c r="L103" s="86">
        <v>47</v>
      </c>
      <c r="M103" s="86">
        <v>61</v>
      </c>
      <c r="N103" s="83">
        <v>86</v>
      </c>
      <c r="O103" s="81">
        <v>33</v>
      </c>
      <c r="P103" s="81">
        <v>53</v>
      </c>
      <c r="Q103" s="83">
        <v>51</v>
      </c>
      <c r="R103" s="82">
        <v>21</v>
      </c>
      <c r="S103" s="82">
        <v>30</v>
      </c>
      <c r="T103" s="83">
        <v>72</v>
      </c>
      <c r="U103" s="80">
        <v>21</v>
      </c>
      <c r="V103" s="80">
        <v>51</v>
      </c>
      <c r="W103" s="83">
        <v>107</v>
      </c>
      <c r="X103" s="84">
        <v>51</v>
      </c>
      <c r="Y103" s="84">
        <v>56</v>
      </c>
      <c r="Z103" s="83">
        <v>47</v>
      </c>
      <c r="AA103" s="84">
        <v>17</v>
      </c>
      <c r="AB103" s="84">
        <v>30</v>
      </c>
      <c r="AC103" s="83">
        <v>55</v>
      </c>
      <c r="AD103" s="81">
        <v>24</v>
      </c>
      <c r="AE103" s="81">
        <v>31</v>
      </c>
      <c r="AF103" s="83">
        <v>110</v>
      </c>
      <c r="AG103" s="80">
        <v>44</v>
      </c>
      <c r="AH103" s="80">
        <v>66</v>
      </c>
      <c r="AI103" s="83">
        <v>94</v>
      </c>
      <c r="AJ103" s="80">
        <v>39</v>
      </c>
      <c r="AK103" s="80">
        <v>55</v>
      </c>
      <c r="AL103" s="83">
        <v>167</v>
      </c>
      <c r="AM103" s="84">
        <v>78</v>
      </c>
      <c r="AN103" s="84">
        <v>89</v>
      </c>
      <c r="AO103" s="83">
        <v>57</v>
      </c>
      <c r="AP103" s="81">
        <v>18</v>
      </c>
      <c r="AQ103" s="81">
        <v>39</v>
      </c>
      <c r="AR103" s="83">
        <v>93</v>
      </c>
      <c r="AS103" s="80">
        <v>38</v>
      </c>
      <c r="AT103" s="80">
        <v>55</v>
      </c>
      <c r="AU103" s="83">
        <v>68</v>
      </c>
      <c r="AV103" s="84">
        <v>23</v>
      </c>
      <c r="AW103" s="84">
        <v>45</v>
      </c>
      <c r="AX103" s="81">
        <v>1103</v>
      </c>
      <c r="AY103" s="81">
        <v>480</v>
      </c>
      <c r="AZ103" s="81">
        <v>623</v>
      </c>
      <c r="BA103" s="81">
        <v>86</v>
      </c>
      <c r="BB103" s="84">
        <v>42</v>
      </c>
      <c r="BC103" s="84">
        <v>44</v>
      </c>
      <c r="BD103" s="81">
        <v>44</v>
      </c>
      <c r="BE103" s="80">
        <v>17</v>
      </c>
      <c r="BF103" s="80">
        <v>27</v>
      </c>
      <c r="BG103" s="81">
        <v>73</v>
      </c>
      <c r="BH103" s="81">
        <v>32</v>
      </c>
      <c r="BI103" s="81">
        <v>41</v>
      </c>
      <c r="BJ103" s="81">
        <v>69</v>
      </c>
      <c r="BK103" s="80">
        <v>25</v>
      </c>
      <c r="BL103" s="80">
        <v>44</v>
      </c>
      <c r="BM103" s="81">
        <v>47</v>
      </c>
      <c r="BN103" s="81">
        <v>14</v>
      </c>
      <c r="BO103" s="81">
        <v>33</v>
      </c>
      <c r="BP103" s="81">
        <v>152</v>
      </c>
      <c r="BQ103" s="80">
        <v>57</v>
      </c>
      <c r="BR103" s="80">
        <v>95</v>
      </c>
      <c r="BS103" s="81">
        <v>70</v>
      </c>
      <c r="BT103" s="80">
        <v>30</v>
      </c>
      <c r="BU103" s="80">
        <v>40</v>
      </c>
      <c r="BV103" s="81">
        <v>81</v>
      </c>
      <c r="BW103" s="80">
        <v>38</v>
      </c>
      <c r="BX103" s="80">
        <v>43</v>
      </c>
      <c r="BY103" s="81">
        <v>51</v>
      </c>
      <c r="BZ103" s="85">
        <v>24</v>
      </c>
      <c r="CA103" s="85">
        <v>27</v>
      </c>
      <c r="CB103" s="81">
        <v>57</v>
      </c>
      <c r="CC103" s="80">
        <v>23</v>
      </c>
      <c r="CD103" s="80">
        <v>34</v>
      </c>
      <c r="CE103" s="81">
        <v>37</v>
      </c>
      <c r="CF103" s="80">
        <v>16</v>
      </c>
      <c r="CG103" s="80">
        <v>21</v>
      </c>
      <c r="CH103" s="81">
        <v>45</v>
      </c>
      <c r="CI103" s="80">
        <v>22</v>
      </c>
      <c r="CJ103" s="80">
        <v>23</v>
      </c>
      <c r="CK103" s="81">
        <v>96</v>
      </c>
      <c r="CL103" s="84">
        <v>44</v>
      </c>
      <c r="CM103" s="84">
        <v>52</v>
      </c>
      <c r="CN103" s="81">
        <v>70</v>
      </c>
      <c r="CO103" s="80">
        <v>35</v>
      </c>
      <c r="CP103" s="80">
        <v>35</v>
      </c>
      <c r="CQ103" s="81">
        <v>50</v>
      </c>
      <c r="CR103" s="80">
        <v>19</v>
      </c>
      <c r="CS103" s="80">
        <v>31</v>
      </c>
      <c r="CT103" s="81">
        <v>32</v>
      </c>
      <c r="CU103" s="80">
        <v>18</v>
      </c>
      <c r="CV103" s="80">
        <v>14</v>
      </c>
      <c r="CW103" s="81">
        <v>43</v>
      </c>
      <c r="CX103" s="80">
        <v>24</v>
      </c>
      <c r="CY103" s="80">
        <v>19</v>
      </c>
    </row>
    <row r="104" spans="1:103" ht="18.75" customHeight="1" x14ac:dyDescent="0.15">
      <c r="A104" s="87" t="s">
        <v>75</v>
      </c>
      <c r="B104" s="83">
        <v>2293</v>
      </c>
      <c r="C104" s="83">
        <v>924</v>
      </c>
      <c r="D104" s="83">
        <v>1369</v>
      </c>
      <c r="E104" s="81">
        <v>1171</v>
      </c>
      <c r="F104" s="81">
        <v>496</v>
      </c>
      <c r="G104" s="81">
        <v>675</v>
      </c>
      <c r="H104" s="83">
        <v>62</v>
      </c>
      <c r="I104" s="84">
        <v>38</v>
      </c>
      <c r="J104" s="84">
        <v>24</v>
      </c>
      <c r="K104" s="83">
        <v>122</v>
      </c>
      <c r="L104" s="86">
        <v>55</v>
      </c>
      <c r="M104" s="86">
        <v>67</v>
      </c>
      <c r="N104" s="83">
        <v>74</v>
      </c>
      <c r="O104" s="81">
        <v>28</v>
      </c>
      <c r="P104" s="81">
        <v>46</v>
      </c>
      <c r="Q104" s="83">
        <v>58</v>
      </c>
      <c r="R104" s="82">
        <v>21</v>
      </c>
      <c r="S104" s="82">
        <v>37</v>
      </c>
      <c r="T104" s="83">
        <v>99</v>
      </c>
      <c r="U104" s="80">
        <v>40</v>
      </c>
      <c r="V104" s="80">
        <v>59</v>
      </c>
      <c r="W104" s="83">
        <v>92</v>
      </c>
      <c r="X104" s="84">
        <v>46</v>
      </c>
      <c r="Y104" s="84">
        <v>46</v>
      </c>
      <c r="Z104" s="83">
        <v>56</v>
      </c>
      <c r="AA104" s="84">
        <v>23</v>
      </c>
      <c r="AB104" s="84">
        <v>33</v>
      </c>
      <c r="AC104" s="83">
        <v>39</v>
      </c>
      <c r="AD104" s="81">
        <v>16</v>
      </c>
      <c r="AE104" s="81">
        <v>23</v>
      </c>
      <c r="AF104" s="83">
        <v>107</v>
      </c>
      <c r="AG104" s="80">
        <v>36</v>
      </c>
      <c r="AH104" s="80">
        <v>71</v>
      </c>
      <c r="AI104" s="83">
        <v>95</v>
      </c>
      <c r="AJ104" s="80">
        <v>47</v>
      </c>
      <c r="AK104" s="80">
        <v>48</v>
      </c>
      <c r="AL104" s="83">
        <v>170</v>
      </c>
      <c r="AM104" s="84">
        <v>68</v>
      </c>
      <c r="AN104" s="84">
        <v>102</v>
      </c>
      <c r="AO104" s="83">
        <v>57</v>
      </c>
      <c r="AP104" s="81">
        <v>18</v>
      </c>
      <c r="AQ104" s="81">
        <v>39</v>
      </c>
      <c r="AR104" s="83">
        <v>78</v>
      </c>
      <c r="AS104" s="80">
        <v>34</v>
      </c>
      <c r="AT104" s="80">
        <v>44</v>
      </c>
      <c r="AU104" s="83">
        <v>62</v>
      </c>
      <c r="AV104" s="84">
        <v>26</v>
      </c>
      <c r="AW104" s="84">
        <v>36</v>
      </c>
      <c r="AX104" s="81">
        <v>1122</v>
      </c>
      <c r="AY104" s="81">
        <v>428</v>
      </c>
      <c r="AZ104" s="81">
        <v>694</v>
      </c>
      <c r="BA104" s="81">
        <v>80</v>
      </c>
      <c r="BB104" s="84">
        <v>31</v>
      </c>
      <c r="BC104" s="84">
        <v>49</v>
      </c>
      <c r="BD104" s="81">
        <v>43</v>
      </c>
      <c r="BE104" s="80">
        <v>23</v>
      </c>
      <c r="BF104" s="80">
        <v>20</v>
      </c>
      <c r="BG104" s="81">
        <v>71</v>
      </c>
      <c r="BH104" s="81">
        <v>26</v>
      </c>
      <c r="BI104" s="81">
        <v>45</v>
      </c>
      <c r="BJ104" s="81">
        <v>67</v>
      </c>
      <c r="BK104" s="80">
        <v>19</v>
      </c>
      <c r="BL104" s="80">
        <v>48</v>
      </c>
      <c r="BM104" s="81">
        <v>59</v>
      </c>
      <c r="BN104" s="81">
        <v>15</v>
      </c>
      <c r="BO104" s="81">
        <v>44</v>
      </c>
      <c r="BP104" s="81">
        <v>172</v>
      </c>
      <c r="BQ104" s="80">
        <v>74</v>
      </c>
      <c r="BR104" s="80">
        <v>98</v>
      </c>
      <c r="BS104" s="81">
        <v>92</v>
      </c>
      <c r="BT104" s="80">
        <v>28</v>
      </c>
      <c r="BU104" s="80">
        <v>64</v>
      </c>
      <c r="BV104" s="81">
        <v>76</v>
      </c>
      <c r="BW104" s="80">
        <v>21</v>
      </c>
      <c r="BX104" s="80">
        <v>55</v>
      </c>
      <c r="BY104" s="81">
        <v>38</v>
      </c>
      <c r="BZ104" s="85">
        <v>14</v>
      </c>
      <c r="CA104" s="85">
        <v>24</v>
      </c>
      <c r="CB104" s="81">
        <v>54</v>
      </c>
      <c r="CC104" s="80">
        <v>20</v>
      </c>
      <c r="CD104" s="80">
        <v>34</v>
      </c>
      <c r="CE104" s="81">
        <v>42</v>
      </c>
      <c r="CF104" s="80">
        <v>18</v>
      </c>
      <c r="CG104" s="80">
        <v>24</v>
      </c>
      <c r="CH104" s="81">
        <v>47</v>
      </c>
      <c r="CI104" s="80">
        <v>21</v>
      </c>
      <c r="CJ104" s="80">
        <v>26</v>
      </c>
      <c r="CK104" s="81">
        <v>84</v>
      </c>
      <c r="CL104" s="84">
        <v>32</v>
      </c>
      <c r="CM104" s="84">
        <v>52</v>
      </c>
      <c r="CN104" s="81">
        <v>73</v>
      </c>
      <c r="CO104" s="80">
        <v>33</v>
      </c>
      <c r="CP104" s="80">
        <v>40</v>
      </c>
      <c r="CQ104" s="81">
        <v>42</v>
      </c>
      <c r="CR104" s="80">
        <v>19</v>
      </c>
      <c r="CS104" s="80">
        <v>23</v>
      </c>
      <c r="CT104" s="81">
        <v>35</v>
      </c>
      <c r="CU104" s="80">
        <v>13</v>
      </c>
      <c r="CV104" s="80">
        <v>22</v>
      </c>
      <c r="CW104" s="81">
        <v>47</v>
      </c>
      <c r="CX104" s="80">
        <v>21</v>
      </c>
      <c r="CY104" s="80">
        <v>26</v>
      </c>
    </row>
    <row r="105" spans="1:103" ht="18.75" customHeight="1" x14ac:dyDescent="0.15">
      <c r="A105" s="87" t="s">
        <v>74</v>
      </c>
      <c r="B105" s="83">
        <v>2156</v>
      </c>
      <c r="C105" s="83">
        <v>900</v>
      </c>
      <c r="D105" s="83">
        <v>1256</v>
      </c>
      <c r="E105" s="81">
        <v>1100</v>
      </c>
      <c r="F105" s="81">
        <v>461</v>
      </c>
      <c r="G105" s="81">
        <v>639</v>
      </c>
      <c r="H105" s="83">
        <v>70</v>
      </c>
      <c r="I105" s="84">
        <v>34</v>
      </c>
      <c r="J105" s="84">
        <v>36</v>
      </c>
      <c r="K105" s="83">
        <v>109</v>
      </c>
      <c r="L105" s="86">
        <v>45</v>
      </c>
      <c r="M105" s="86">
        <v>64</v>
      </c>
      <c r="N105" s="83">
        <v>69</v>
      </c>
      <c r="O105" s="81">
        <v>26</v>
      </c>
      <c r="P105" s="81">
        <v>43</v>
      </c>
      <c r="Q105" s="83">
        <v>52</v>
      </c>
      <c r="R105" s="82">
        <v>15</v>
      </c>
      <c r="S105" s="82">
        <v>37</v>
      </c>
      <c r="T105" s="83">
        <v>80</v>
      </c>
      <c r="U105" s="80">
        <v>34</v>
      </c>
      <c r="V105" s="80">
        <v>46</v>
      </c>
      <c r="W105" s="83">
        <v>113</v>
      </c>
      <c r="X105" s="84">
        <v>48</v>
      </c>
      <c r="Y105" s="84">
        <v>65</v>
      </c>
      <c r="Z105" s="83">
        <v>52</v>
      </c>
      <c r="AA105" s="84">
        <v>25</v>
      </c>
      <c r="AB105" s="84">
        <v>27</v>
      </c>
      <c r="AC105" s="83">
        <v>43</v>
      </c>
      <c r="AD105" s="81">
        <v>17</v>
      </c>
      <c r="AE105" s="81">
        <v>26</v>
      </c>
      <c r="AF105" s="83">
        <v>85</v>
      </c>
      <c r="AG105" s="80">
        <v>38</v>
      </c>
      <c r="AH105" s="80">
        <v>47</v>
      </c>
      <c r="AI105" s="83">
        <v>87</v>
      </c>
      <c r="AJ105" s="80">
        <v>42</v>
      </c>
      <c r="AK105" s="80">
        <v>45</v>
      </c>
      <c r="AL105" s="83">
        <v>145</v>
      </c>
      <c r="AM105" s="84">
        <v>55</v>
      </c>
      <c r="AN105" s="84">
        <v>90</v>
      </c>
      <c r="AO105" s="83">
        <v>54</v>
      </c>
      <c r="AP105" s="81">
        <v>22</v>
      </c>
      <c r="AQ105" s="81">
        <v>32</v>
      </c>
      <c r="AR105" s="83">
        <v>98</v>
      </c>
      <c r="AS105" s="80">
        <v>41</v>
      </c>
      <c r="AT105" s="80">
        <v>57</v>
      </c>
      <c r="AU105" s="83">
        <v>43</v>
      </c>
      <c r="AV105" s="84">
        <v>19</v>
      </c>
      <c r="AW105" s="84">
        <v>24</v>
      </c>
      <c r="AX105" s="81">
        <v>1056</v>
      </c>
      <c r="AY105" s="81">
        <v>439</v>
      </c>
      <c r="AZ105" s="81">
        <v>617</v>
      </c>
      <c r="BA105" s="81">
        <v>77</v>
      </c>
      <c r="BB105" s="84">
        <v>31</v>
      </c>
      <c r="BC105" s="84">
        <v>46</v>
      </c>
      <c r="BD105" s="81">
        <v>47</v>
      </c>
      <c r="BE105" s="80">
        <v>22</v>
      </c>
      <c r="BF105" s="80">
        <v>25</v>
      </c>
      <c r="BG105" s="81">
        <v>67</v>
      </c>
      <c r="BH105" s="81">
        <v>27</v>
      </c>
      <c r="BI105" s="81">
        <v>40</v>
      </c>
      <c r="BJ105" s="81">
        <v>67</v>
      </c>
      <c r="BK105" s="80">
        <v>21</v>
      </c>
      <c r="BL105" s="80">
        <v>46</v>
      </c>
      <c r="BM105" s="81">
        <v>51</v>
      </c>
      <c r="BN105" s="81">
        <v>14</v>
      </c>
      <c r="BO105" s="81">
        <v>37</v>
      </c>
      <c r="BP105" s="81">
        <v>169</v>
      </c>
      <c r="BQ105" s="80">
        <v>68</v>
      </c>
      <c r="BR105" s="80">
        <v>101</v>
      </c>
      <c r="BS105" s="81">
        <v>86</v>
      </c>
      <c r="BT105" s="80">
        <v>44</v>
      </c>
      <c r="BU105" s="80">
        <v>42</v>
      </c>
      <c r="BV105" s="81">
        <v>77</v>
      </c>
      <c r="BW105" s="80">
        <v>27</v>
      </c>
      <c r="BX105" s="80">
        <v>50</v>
      </c>
      <c r="BY105" s="81">
        <v>42</v>
      </c>
      <c r="BZ105" s="85">
        <v>16</v>
      </c>
      <c r="CA105" s="85">
        <v>26</v>
      </c>
      <c r="CB105" s="81">
        <v>52</v>
      </c>
      <c r="CC105" s="80">
        <v>24</v>
      </c>
      <c r="CD105" s="80">
        <v>28</v>
      </c>
      <c r="CE105" s="81">
        <v>41</v>
      </c>
      <c r="CF105" s="80">
        <v>26</v>
      </c>
      <c r="CG105" s="80">
        <v>15</v>
      </c>
      <c r="CH105" s="81">
        <v>44</v>
      </c>
      <c r="CI105" s="80">
        <v>17</v>
      </c>
      <c r="CJ105" s="80">
        <v>27</v>
      </c>
      <c r="CK105" s="81">
        <v>58</v>
      </c>
      <c r="CL105" s="84">
        <v>29</v>
      </c>
      <c r="CM105" s="84">
        <v>29</v>
      </c>
      <c r="CN105" s="81">
        <v>65</v>
      </c>
      <c r="CO105" s="80">
        <v>28</v>
      </c>
      <c r="CP105" s="80">
        <v>37</v>
      </c>
      <c r="CQ105" s="81">
        <v>49</v>
      </c>
      <c r="CR105" s="80">
        <v>22</v>
      </c>
      <c r="CS105" s="80">
        <v>27</v>
      </c>
      <c r="CT105" s="81">
        <v>28</v>
      </c>
      <c r="CU105" s="80">
        <v>12</v>
      </c>
      <c r="CV105" s="80">
        <v>16</v>
      </c>
      <c r="CW105" s="81">
        <v>36</v>
      </c>
      <c r="CX105" s="80">
        <v>11</v>
      </c>
      <c r="CY105" s="80">
        <v>25</v>
      </c>
    </row>
    <row r="106" spans="1:103" ht="18.75" customHeight="1" x14ac:dyDescent="0.15">
      <c r="A106" s="87" t="s">
        <v>73</v>
      </c>
      <c r="B106" s="83">
        <v>2502</v>
      </c>
      <c r="C106" s="83">
        <v>979</v>
      </c>
      <c r="D106" s="83">
        <v>1523</v>
      </c>
      <c r="E106" s="81">
        <v>1296</v>
      </c>
      <c r="F106" s="81">
        <v>523</v>
      </c>
      <c r="G106" s="81">
        <v>773</v>
      </c>
      <c r="H106" s="83">
        <v>76</v>
      </c>
      <c r="I106" s="84">
        <v>30</v>
      </c>
      <c r="J106" s="84">
        <v>46</v>
      </c>
      <c r="K106" s="83">
        <v>146</v>
      </c>
      <c r="L106" s="86">
        <v>62</v>
      </c>
      <c r="M106" s="86">
        <v>84</v>
      </c>
      <c r="N106" s="83">
        <v>83</v>
      </c>
      <c r="O106" s="81">
        <v>32</v>
      </c>
      <c r="P106" s="81">
        <v>51</v>
      </c>
      <c r="Q106" s="83">
        <v>40</v>
      </c>
      <c r="R106" s="82">
        <v>15</v>
      </c>
      <c r="S106" s="82">
        <v>25</v>
      </c>
      <c r="T106" s="83">
        <v>90</v>
      </c>
      <c r="U106" s="80">
        <v>30</v>
      </c>
      <c r="V106" s="80">
        <v>60</v>
      </c>
      <c r="W106" s="83">
        <v>125</v>
      </c>
      <c r="X106" s="84">
        <v>53</v>
      </c>
      <c r="Y106" s="84">
        <v>72</v>
      </c>
      <c r="Z106" s="83">
        <v>52</v>
      </c>
      <c r="AA106" s="84">
        <v>25</v>
      </c>
      <c r="AB106" s="84">
        <v>27</v>
      </c>
      <c r="AC106" s="83">
        <v>50</v>
      </c>
      <c r="AD106" s="81">
        <v>21</v>
      </c>
      <c r="AE106" s="81">
        <v>29</v>
      </c>
      <c r="AF106" s="83">
        <v>110</v>
      </c>
      <c r="AG106" s="80">
        <v>43</v>
      </c>
      <c r="AH106" s="80">
        <v>67</v>
      </c>
      <c r="AI106" s="83">
        <v>101</v>
      </c>
      <c r="AJ106" s="80">
        <v>52</v>
      </c>
      <c r="AK106" s="80">
        <v>49</v>
      </c>
      <c r="AL106" s="83">
        <v>180</v>
      </c>
      <c r="AM106" s="84">
        <v>63</v>
      </c>
      <c r="AN106" s="84">
        <v>117</v>
      </c>
      <c r="AO106" s="83">
        <v>60</v>
      </c>
      <c r="AP106" s="81">
        <v>28</v>
      </c>
      <c r="AQ106" s="81">
        <v>32</v>
      </c>
      <c r="AR106" s="83">
        <v>109</v>
      </c>
      <c r="AS106" s="80">
        <v>40</v>
      </c>
      <c r="AT106" s="80">
        <v>69</v>
      </c>
      <c r="AU106" s="83">
        <v>74</v>
      </c>
      <c r="AV106" s="84">
        <v>29</v>
      </c>
      <c r="AW106" s="84">
        <v>45</v>
      </c>
      <c r="AX106" s="81">
        <v>1206</v>
      </c>
      <c r="AY106" s="81">
        <v>456</v>
      </c>
      <c r="AZ106" s="81">
        <v>750</v>
      </c>
      <c r="BA106" s="81">
        <v>84</v>
      </c>
      <c r="BB106" s="84">
        <v>40</v>
      </c>
      <c r="BC106" s="84">
        <v>44</v>
      </c>
      <c r="BD106" s="81">
        <v>43</v>
      </c>
      <c r="BE106" s="80">
        <v>12</v>
      </c>
      <c r="BF106" s="80">
        <v>31</v>
      </c>
      <c r="BG106" s="81">
        <v>84</v>
      </c>
      <c r="BH106" s="81">
        <v>28</v>
      </c>
      <c r="BI106" s="81">
        <v>56</v>
      </c>
      <c r="BJ106" s="81">
        <v>73</v>
      </c>
      <c r="BK106" s="80">
        <v>33</v>
      </c>
      <c r="BL106" s="80">
        <v>40</v>
      </c>
      <c r="BM106" s="81">
        <v>59</v>
      </c>
      <c r="BN106" s="81">
        <v>20</v>
      </c>
      <c r="BO106" s="81">
        <v>39</v>
      </c>
      <c r="BP106" s="81">
        <v>183</v>
      </c>
      <c r="BQ106" s="80">
        <v>60</v>
      </c>
      <c r="BR106" s="80">
        <v>123</v>
      </c>
      <c r="BS106" s="81">
        <v>92</v>
      </c>
      <c r="BT106" s="80">
        <v>42</v>
      </c>
      <c r="BU106" s="80">
        <v>50</v>
      </c>
      <c r="BV106" s="81">
        <v>87</v>
      </c>
      <c r="BW106" s="80">
        <v>26</v>
      </c>
      <c r="BX106" s="80">
        <v>61</v>
      </c>
      <c r="BY106" s="81">
        <v>51</v>
      </c>
      <c r="BZ106" s="85">
        <v>19</v>
      </c>
      <c r="CA106" s="85">
        <v>32</v>
      </c>
      <c r="CB106" s="81">
        <v>54</v>
      </c>
      <c r="CC106" s="80">
        <v>18</v>
      </c>
      <c r="CD106" s="80">
        <v>36</v>
      </c>
      <c r="CE106" s="81">
        <v>46</v>
      </c>
      <c r="CF106" s="80">
        <v>20</v>
      </c>
      <c r="CG106" s="80">
        <v>26</v>
      </c>
      <c r="CH106" s="81">
        <v>45</v>
      </c>
      <c r="CI106" s="80">
        <v>19</v>
      </c>
      <c r="CJ106" s="80">
        <v>26</v>
      </c>
      <c r="CK106" s="81">
        <v>83</v>
      </c>
      <c r="CL106" s="84">
        <v>31</v>
      </c>
      <c r="CM106" s="84">
        <v>52</v>
      </c>
      <c r="CN106" s="81">
        <v>67</v>
      </c>
      <c r="CO106" s="80">
        <v>28</v>
      </c>
      <c r="CP106" s="80">
        <v>39</v>
      </c>
      <c r="CQ106" s="81">
        <v>70</v>
      </c>
      <c r="CR106" s="80">
        <v>28</v>
      </c>
      <c r="CS106" s="80">
        <v>42</v>
      </c>
      <c r="CT106" s="81">
        <v>37</v>
      </c>
      <c r="CU106" s="80">
        <v>15</v>
      </c>
      <c r="CV106" s="80">
        <v>22</v>
      </c>
      <c r="CW106" s="81">
        <v>48</v>
      </c>
      <c r="CX106" s="80">
        <v>17</v>
      </c>
      <c r="CY106" s="80">
        <v>31</v>
      </c>
    </row>
    <row r="107" spans="1:103" ht="18.75" customHeight="1" x14ac:dyDescent="0.15">
      <c r="A107" s="87" t="s">
        <v>72</v>
      </c>
      <c r="B107" s="83">
        <v>1962</v>
      </c>
      <c r="C107" s="83">
        <v>728</v>
      </c>
      <c r="D107" s="83">
        <v>1234</v>
      </c>
      <c r="E107" s="81">
        <v>970</v>
      </c>
      <c r="F107" s="81">
        <v>385</v>
      </c>
      <c r="G107" s="81">
        <v>585</v>
      </c>
      <c r="H107" s="83">
        <v>48</v>
      </c>
      <c r="I107" s="84">
        <v>23</v>
      </c>
      <c r="J107" s="84">
        <v>25</v>
      </c>
      <c r="K107" s="83">
        <v>106</v>
      </c>
      <c r="L107" s="86">
        <v>43</v>
      </c>
      <c r="M107" s="86">
        <v>63</v>
      </c>
      <c r="N107" s="83">
        <v>72</v>
      </c>
      <c r="O107" s="81">
        <v>27</v>
      </c>
      <c r="P107" s="81">
        <v>45</v>
      </c>
      <c r="Q107" s="83">
        <v>41</v>
      </c>
      <c r="R107" s="82">
        <v>14</v>
      </c>
      <c r="S107" s="82">
        <v>27</v>
      </c>
      <c r="T107" s="83">
        <v>72</v>
      </c>
      <c r="U107" s="80">
        <v>32</v>
      </c>
      <c r="V107" s="80">
        <v>40</v>
      </c>
      <c r="W107" s="83">
        <v>88</v>
      </c>
      <c r="X107" s="84">
        <v>36</v>
      </c>
      <c r="Y107" s="84">
        <v>52</v>
      </c>
      <c r="Z107" s="83">
        <v>47</v>
      </c>
      <c r="AA107" s="84">
        <v>19</v>
      </c>
      <c r="AB107" s="84">
        <v>28</v>
      </c>
      <c r="AC107" s="83">
        <v>38</v>
      </c>
      <c r="AD107" s="81">
        <v>11</v>
      </c>
      <c r="AE107" s="81">
        <v>27</v>
      </c>
      <c r="AF107" s="83">
        <v>85</v>
      </c>
      <c r="AG107" s="80">
        <v>31</v>
      </c>
      <c r="AH107" s="80">
        <v>54</v>
      </c>
      <c r="AI107" s="83">
        <v>80</v>
      </c>
      <c r="AJ107" s="80">
        <v>30</v>
      </c>
      <c r="AK107" s="80">
        <v>50</v>
      </c>
      <c r="AL107" s="83">
        <v>132</v>
      </c>
      <c r="AM107" s="84">
        <v>57</v>
      </c>
      <c r="AN107" s="84">
        <v>75</v>
      </c>
      <c r="AO107" s="83">
        <v>34</v>
      </c>
      <c r="AP107" s="81">
        <v>14</v>
      </c>
      <c r="AQ107" s="81">
        <v>20</v>
      </c>
      <c r="AR107" s="83">
        <v>86</v>
      </c>
      <c r="AS107" s="80">
        <v>32</v>
      </c>
      <c r="AT107" s="80">
        <v>54</v>
      </c>
      <c r="AU107" s="83">
        <v>41</v>
      </c>
      <c r="AV107" s="84">
        <v>16</v>
      </c>
      <c r="AW107" s="84">
        <v>25</v>
      </c>
      <c r="AX107" s="81">
        <v>992</v>
      </c>
      <c r="AY107" s="81">
        <v>343</v>
      </c>
      <c r="AZ107" s="81">
        <v>649</v>
      </c>
      <c r="BA107" s="81">
        <v>79</v>
      </c>
      <c r="BB107" s="84">
        <v>25</v>
      </c>
      <c r="BC107" s="84">
        <v>54</v>
      </c>
      <c r="BD107" s="81">
        <v>44</v>
      </c>
      <c r="BE107" s="80">
        <v>18</v>
      </c>
      <c r="BF107" s="80">
        <v>26</v>
      </c>
      <c r="BG107" s="81">
        <v>64</v>
      </c>
      <c r="BH107" s="81">
        <v>18</v>
      </c>
      <c r="BI107" s="81">
        <v>46</v>
      </c>
      <c r="BJ107" s="81">
        <v>56</v>
      </c>
      <c r="BK107" s="80">
        <v>20</v>
      </c>
      <c r="BL107" s="80">
        <v>36</v>
      </c>
      <c r="BM107" s="81">
        <v>53</v>
      </c>
      <c r="BN107" s="81">
        <v>14</v>
      </c>
      <c r="BO107" s="81">
        <v>39</v>
      </c>
      <c r="BP107" s="81">
        <v>155</v>
      </c>
      <c r="BQ107" s="80">
        <v>52</v>
      </c>
      <c r="BR107" s="80">
        <v>103</v>
      </c>
      <c r="BS107" s="81">
        <v>68</v>
      </c>
      <c r="BT107" s="80">
        <v>29</v>
      </c>
      <c r="BU107" s="80">
        <v>39</v>
      </c>
      <c r="BV107" s="81">
        <v>80</v>
      </c>
      <c r="BW107" s="80">
        <v>24</v>
      </c>
      <c r="BX107" s="80">
        <v>56</v>
      </c>
      <c r="BY107" s="81">
        <v>39</v>
      </c>
      <c r="BZ107" s="85">
        <v>15</v>
      </c>
      <c r="CA107" s="85">
        <v>24</v>
      </c>
      <c r="CB107" s="81">
        <v>63</v>
      </c>
      <c r="CC107" s="80">
        <v>20</v>
      </c>
      <c r="CD107" s="80">
        <v>43</v>
      </c>
      <c r="CE107" s="81">
        <v>34</v>
      </c>
      <c r="CF107" s="80">
        <v>9</v>
      </c>
      <c r="CG107" s="80">
        <v>25</v>
      </c>
      <c r="CH107" s="81">
        <v>33</v>
      </c>
      <c r="CI107" s="80">
        <v>8</v>
      </c>
      <c r="CJ107" s="80">
        <v>25</v>
      </c>
      <c r="CK107" s="81">
        <v>74</v>
      </c>
      <c r="CL107" s="84">
        <v>26</v>
      </c>
      <c r="CM107" s="84">
        <v>48</v>
      </c>
      <c r="CN107" s="81">
        <v>53</v>
      </c>
      <c r="CO107" s="80">
        <v>16</v>
      </c>
      <c r="CP107" s="80">
        <v>37</v>
      </c>
      <c r="CQ107" s="81">
        <v>40</v>
      </c>
      <c r="CR107" s="80">
        <v>21</v>
      </c>
      <c r="CS107" s="80">
        <v>19</v>
      </c>
      <c r="CT107" s="81">
        <v>25</v>
      </c>
      <c r="CU107" s="80">
        <v>11</v>
      </c>
      <c r="CV107" s="80">
        <v>14</v>
      </c>
      <c r="CW107" s="81">
        <v>32</v>
      </c>
      <c r="CX107" s="80">
        <v>17</v>
      </c>
      <c r="CY107" s="80">
        <v>15</v>
      </c>
    </row>
    <row r="108" spans="1:103" ht="18.75" customHeight="1" x14ac:dyDescent="0.15">
      <c r="A108" s="57" t="s">
        <v>183</v>
      </c>
      <c r="B108" s="78">
        <v>6591</v>
      </c>
      <c r="C108" s="78">
        <v>2166</v>
      </c>
      <c r="D108" s="78">
        <v>4425</v>
      </c>
      <c r="E108" s="78">
        <v>3275</v>
      </c>
      <c r="F108" s="78">
        <v>1064</v>
      </c>
      <c r="G108" s="78">
        <v>2211</v>
      </c>
      <c r="H108" s="78">
        <v>181</v>
      </c>
      <c r="I108" s="78">
        <v>63</v>
      </c>
      <c r="J108" s="78">
        <v>118</v>
      </c>
      <c r="K108" s="78">
        <v>308</v>
      </c>
      <c r="L108" s="78">
        <v>98</v>
      </c>
      <c r="M108" s="78">
        <v>210</v>
      </c>
      <c r="N108" s="78">
        <v>217</v>
      </c>
      <c r="O108" s="78">
        <v>69</v>
      </c>
      <c r="P108" s="78">
        <v>148</v>
      </c>
      <c r="Q108" s="78">
        <v>153</v>
      </c>
      <c r="R108" s="78">
        <v>48</v>
      </c>
      <c r="S108" s="78">
        <v>105</v>
      </c>
      <c r="T108" s="78">
        <v>234</v>
      </c>
      <c r="U108" s="78">
        <v>81</v>
      </c>
      <c r="V108" s="78">
        <v>153</v>
      </c>
      <c r="W108" s="78">
        <v>288</v>
      </c>
      <c r="X108" s="78">
        <v>94</v>
      </c>
      <c r="Y108" s="78">
        <v>194</v>
      </c>
      <c r="Z108" s="78">
        <v>127</v>
      </c>
      <c r="AA108" s="78">
        <v>52</v>
      </c>
      <c r="AB108" s="78">
        <v>75</v>
      </c>
      <c r="AC108" s="78">
        <v>124</v>
      </c>
      <c r="AD108" s="78">
        <v>45</v>
      </c>
      <c r="AE108" s="78">
        <v>79</v>
      </c>
      <c r="AF108" s="78">
        <v>276</v>
      </c>
      <c r="AG108" s="78">
        <v>95</v>
      </c>
      <c r="AH108" s="78">
        <v>181</v>
      </c>
      <c r="AI108" s="78">
        <v>275</v>
      </c>
      <c r="AJ108" s="78">
        <v>89</v>
      </c>
      <c r="AK108" s="78">
        <v>186</v>
      </c>
      <c r="AL108" s="78">
        <v>467</v>
      </c>
      <c r="AM108" s="78">
        <v>143</v>
      </c>
      <c r="AN108" s="78">
        <v>324</v>
      </c>
      <c r="AO108" s="78">
        <v>175</v>
      </c>
      <c r="AP108" s="78">
        <v>44</v>
      </c>
      <c r="AQ108" s="78">
        <v>131</v>
      </c>
      <c r="AR108" s="78">
        <v>259</v>
      </c>
      <c r="AS108" s="78">
        <v>79</v>
      </c>
      <c r="AT108" s="78">
        <v>180</v>
      </c>
      <c r="AU108" s="78">
        <v>191</v>
      </c>
      <c r="AV108" s="78">
        <v>64</v>
      </c>
      <c r="AW108" s="78">
        <v>127</v>
      </c>
      <c r="AX108" s="78">
        <v>3316</v>
      </c>
      <c r="AY108" s="78">
        <v>1102</v>
      </c>
      <c r="AZ108" s="78">
        <v>2214</v>
      </c>
      <c r="BA108" s="78">
        <v>240</v>
      </c>
      <c r="BB108" s="78">
        <v>83</v>
      </c>
      <c r="BC108" s="78">
        <v>157</v>
      </c>
      <c r="BD108" s="78">
        <v>100</v>
      </c>
      <c r="BE108" s="78">
        <v>41</v>
      </c>
      <c r="BF108" s="78">
        <v>59</v>
      </c>
      <c r="BG108" s="78">
        <v>202</v>
      </c>
      <c r="BH108" s="78">
        <v>56</v>
      </c>
      <c r="BI108" s="78">
        <v>146</v>
      </c>
      <c r="BJ108" s="78">
        <v>173</v>
      </c>
      <c r="BK108" s="78">
        <v>56</v>
      </c>
      <c r="BL108" s="78">
        <v>117</v>
      </c>
      <c r="BM108" s="78">
        <v>151</v>
      </c>
      <c r="BN108" s="78">
        <v>35</v>
      </c>
      <c r="BO108" s="78">
        <v>116</v>
      </c>
      <c r="BP108" s="78">
        <v>472</v>
      </c>
      <c r="BQ108" s="78">
        <v>160</v>
      </c>
      <c r="BR108" s="78">
        <v>312</v>
      </c>
      <c r="BS108" s="78">
        <v>214</v>
      </c>
      <c r="BT108" s="78">
        <v>79</v>
      </c>
      <c r="BU108" s="78">
        <v>135</v>
      </c>
      <c r="BV108" s="78">
        <v>275</v>
      </c>
      <c r="BW108" s="78">
        <v>92</v>
      </c>
      <c r="BX108" s="78">
        <v>183</v>
      </c>
      <c r="BY108" s="78">
        <v>198</v>
      </c>
      <c r="BZ108" s="78">
        <v>65</v>
      </c>
      <c r="CA108" s="78">
        <v>133</v>
      </c>
      <c r="CB108" s="78">
        <v>199</v>
      </c>
      <c r="CC108" s="78">
        <v>55</v>
      </c>
      <c r="CD108" s="78">
        <v>144</v>
      </c>
      <c r="CE108" s="78">
        <v>138</v>
      </c>
      <c r="CF108" s="78">
        <v>50</v>
      </c>
      <c r="CG108" s="78">
        <v>88</v>
      </c>
      <c r="CH108" s="78">
        <v>119</v>
      </c>
      <c r="CI108" s="78">
        <v>52</v>
      </c>
      <c r="CJ108" s="78">
        <v>67</v>
      </c>
      <c r="CK108" s="78">
        <v>214</v>
      </c>
      <c r="CL108" s="78">
        <v>69</v>
      </c>
      <c r="CM108" s="78">
        <v>145</v>
      </c>
      <c r="CN108" s="78">
        <v>220</v>
      </c>
      <c r="CO108" s="78">
        <v>74</v>
      </c>
      <c r="CP108" s="78">
        <v>146</v>
      </c>
      <c r="CQ108" s="78">
        <v>175</v>
      </c>
      <c r="CR108" s="78">
        <v>50</v>
      </c>
      <c r="CS108" s="78">
        <v>125</v>
      </c>
      <c r="CT108" s="78">
        <v>98</v>
      </c>
      <c r="CU108" s="78">
        <v>35</v>
      </c>
      <c r="CV108" s="78">
        <v>63</v>
      </c>
      <c r="CW108" s="78">
        <v>128</v>
      </c>
      <c r="CX108" s="78">
        <v>50</v>
      </c>
      <c r="CY108" s="78">
        <v>78</v>
      </c>
    </row>
    <row r="109" spans="1:103" ht="18.75" customHeight="1" x14ac:dyDescent="0.15">
      <c r="A109" s="87" t="s">
        <v>70</v>
      </c>
      <c r="B109" s="83">
        <v>1608</v>
      </c>
      <c r="C109" s="83">
        <v>579</v>
      </c>
      <c r="D109" s="83">
        <v>1029</v>
      </c>
      <c r="E109" s="81">
        <v>807</v>
      </c>
      <c r="F109" s="81">
        <v>277</v>
      </c>
      <c r="G109" s="81">
        <v>530</v>
      </c>
      <c r="H109" s="83">
        <v>39</v>
      </c>
      <c r="I109" s="84">
        <v>15</v>
      </c>
      <c r="J109" s="84">
        <v>24</v>
      </c>
      <c r="K109" s="83">
        <v>74</v>
      </c>
      <c r="L109" s="86">
        <v>20</v>
      </c>
      <c r="M109" s="86">
        <v>54</v>
      </c>
      <c r="N109" s="83">
        <v>53</v>
      </c>
      <c r="O109" s="81">
        <v>21</v>
      </c>
      <c r="P109" s="81">
        <v>32</v>
      </c>
      <c r="Q109" s="83">
        <v>46</v>
      </c>
      <c r="R109" s="82">
        <v>15</v>
      </c>
      <c r="S109" s="82">
        <v>31</v>
      </c>
      <c r="T109" s="83">
        <v>51</v>
      </c>
      <c r="U109" s="80">
        <v>20</v>
      </c>
      <c r="V109" s="80">
        <v>31</v>
      </c>
      <c r="W109" s="83">
        <v>77</v>
      </c>
      <c r="X109" s="84">
        <v>18</v>
      </c>
      <c r="Y109" s="84">
        <v>59</v>
      </c>
      <c r="Z109" s="83">
        <v>23</v>
      </c>
      <c r="AA109" s="84">
        <v>7</v>
      </c>
      <c r="AB109" s="84">
        <v>16</v>
      </c>
      <c r="AC109" s="83">
        <v>32</v>
      </c>
      <c r="AD109" s="81">
        <v>13</v>
      </c>
      <c r="AE109" s="81">
        <v>19</v>
      </c>
      <c r="AF109" s="83">
        <v>63</v>
      </c>
      <c r="AG109" s="80">
        <v>31</v>
      </c>
      <c r="AH109" s="80">
        <v>32</v>
      </c>
      <c r="AI109" s="83">
        <v>71</v>
      </c>
      <c r="AJ109" s="80">
        <v>21</v>
      </c>
      <c r="AK109" s="80">
        <v>50</v>
      </c>
      <c r="AL109" s="83">
        <v>117</v>
      </c>
      <c r="AM109" s="84">
        <v>39</v>
      </c>
      <c r="AN109" s="84">
        <v>78</v>
      </c>
      <c r="AO109" s="83">
        <v>47</v>
      </c>
      <c r="AP109" s="81">
        <v>11</v>
      </c>
      <c r="AQ109" s="81">
        <v>36</v>
      </c>
      <c r="AR109" s="83">
        <v>65</v>
      </c>
      <c r="AS109" s="80">
        <v>24</v>
      </c>
      <c r="AT109" s="80">
        <v>41</v>
      </c>
      <c r="AU109" s="83">
        <v>49</v>
      </c>
      <c r="AV109" s="84">
        <v>22</v>
      </c>
      <c r="AW109" s="84">
        <v>27</v>
      </c>
      <c r="AX109" s="81">
        <v>801</v>
      </c>
      <c r="AY109" s="81">
        <v>302</v>
      </c>
      <c r="AZ109" s="81">
        <v>499</v>
      </c>
      <c r="BA109" s="81">
        <v>56</v>
      </c>
      <c r="BB109" s="84">
        <v>24</v>
      </c>
      <c r="BC109" s="84">
        <v>32</v>
      </c>
      <c r="BD109" s="81">
        <v>20</v>
      </c>
      <c r="BE109" s="80">
        <v>11</v>
      </c>
      <c r="BF109" s="80">
        <v>9</v>
      </c>
      <c r="BG109" s="81">
        <v>40</v>
      </c>
      <c r="BH109" s="81">
        <v>16</v>
      </c>
      <c r="BI109" s="81">
        <v>24</v>
      </c>
      <c r="BJ109" s="81">
        <v>43</v>
      </c>
      <c r="BK109" s="80">
        <v>17</v>
      </c>
      <c r="BL109" s="80">
        <v>26</v>
      </c>
      <c r="BM109" s="81">
        <v>41</v>
      </c>
      <c r="BN109" s="81">
        <v>13</v>
      </c>
      <c r="BO109" s="81">
        <v>28</v>
      </c>
      <c r="BP109" s="81">
        <v>112</v>
      </c>
      <c r="BQ109" s="80">
        <v>35</v>
      </c>
      <c r="BR109" s="80">
        <v>77</v>
      </c>
      <c r="BS109" s="81">
        <v>53</v>
      </c>
      <c r="BT109" s="80">
        <v>22</v>
      </c>
      <c r="BU109" s="80">
        <v>31</v>
      </c>
      <c r="BV109" s="81">
        <v>76</v>
      </c>
      <c r="BW109" s="80">
        <v>33</v>
      </c>
      <c r="BX109" s="80">
        <v>43</v>
      </c>
      <c r="BY109" s="81">
        <v>47</v>
      </c>
      <c r="BZ109" s="85">
        <v>15</v>
      </c>
      <c r="CA109" s="85">
        <v>32</v>
      </c>
      <c r="CB109" s="81">
        <v>35</v>
      </c>
      <c r="CC109" s="80">
        <v>10</v>
      </c>
      <c r="CD109" s="80">
        <v>25</v>
      </c>
      <c r="CE109" s="81">
        <v>37</v>
      </c>
      <c r="CF109" s="80">
        <v>14</v>
      </c>
      <c r="CG109" s="80">
        <v>23</v>
      </c>
      <c r="CH109" s="81">
        <v>34</v>
      </c>
      <c r="CI109" s="80">
        <v>16</v>
      </c>
      <c r="CJ109" s="80">
        <v>18</v>
      </c>
      <c r="CK109" s="81">
        <v>51</v>
      </c>
      <c r="CL109" s="84">
        <v>19</v>
      </c>
      <c r="CM109" s="84">
        <v>32</v>
      </c>
      <c r="CN109" s="81">
        <v>48</v>
      </c>
      <c r="CO109" s="80">
        <v>21</v>
      </c>
      <c r="CP109" s="80">
        <v>27</v>
      </c>
      <c r="CQ109" s="81">
        <v>45</v>
      </c>
      <c r="CR109" s="80">
        <v>11</v>
      </c>
      <c r="CS109" s="80">
        <v>34</v>
      </c>
      <c r="CT109" s="81">
        <v>27</v>
      </c>
      <c r="CU109" s="80">
        <v>11</v>
      </c>
      <c r="CV109" s="80">
        <v>16</v>
      </c>
      <c r="CW109" s="81">
        <v>36</v>
      </c>
      <c r="CX109" s="80">
        <v>14</v>
      </c>
      <c r="CY109" s="80">
        <v>22</v>
      </c>
    </row>
    <row r="110" spans="1:103" ht="18.75" customHeight="1" x14ac:dyDescent="0.15">
      <c r="A110" s="87" t="s">
        <v>69</v>
      </c>
      <c r="B110" s="83">
        <v>1546</v>
      </c>
      <c r="C110" s="83">
        <v>570</v>
      </c>
      <c r="D110" s="83">
        <v>976</v>
      </c>
      <c r="E110" s="81">
        <v>769</v>
      </c>
      <c r="F110" s="81">
        <v>277</v>
      </c>
      <c r="G110" s="81">
        <v>492</v>
      </c>
      <c r="H110" s="83">
        <v>55</v>
      </c>
      <c r="I110" s="84">
        <v>17</v>
      </c>
      <c r="J110" s="84">
        <v>38</v>
      </c>
      <c r="K110" s="83">
        <v>71</v>
      </c>
      <c r="L110" s="86">
        <v>30</v>
      </c>
      <c r="M110" s="86">
        <v>41</v>
      </c>
      <c r="N110" s="83">
        <v>59</v>
      </c>
      <c r="O110" s="81">
        <v>22</v>
      </c>
      <c r="P110" s="81">
        <v>37</v>
      </c>
      <c r="Q110" s="83">
        <v>40</v>
      </c>
      <c r="R110" s="82">
        <v>17</v>
      </c>
      <c r="S110" s="82">
        <v>23</v>
      </c>
      <c r="T110" s="83">
        <v>49</v>
      </c>
      <c r="U110" s="80">
        <v>18</v>
      </c>
      <c r="V110" s="80">
        <v>31</v>
      </c>
      <c r="W110" s="83">
        <v>71</v>
      </c>
      <c r="X110" s="84">
        <v>29</v>
      </c>
      <c r="Y110" s="84">
        <v>42</v>
      </c>
      <c r="Z110" s="83">
        <v>32</v>
      </c>
      <c r="AA110" s="84">
        <v>17</v>
      </c>
      <c r="AB110" s="84">
        <v>15</v>
      </c>
      <c r="AC110" s="83">
        <v>24</v>
      </c>
      <c r="AD110" s="81">
        <v>10</v>
      </c>
      <c r="AE110" s="81">
        <v>14</v>
      </c>
      <c r="AF110" s="83">
        <v>69</v>
      </c>
      <c r="AG110" s="80">
        <v>18</v>
      </c>
      <c r="AH110" s="80">
        <v>51</v>
      </c>
      <c r="AI110" s="83">
        <v>58</v>
      </c>
      <c r="AJ110" s="80">
        <v>19</v>
      </c>
      <c r="AK110" s="80">
        <v>39</v>
      </c>
      <c r="AL110" s="83">
        <v>100</v>
      </c>
      <c r="AM110" s="84">
        <v>31</v>
      </c>
      <c r="AN110" s="84">
        <v>69</v>
      </c>
      <c r="AO110" s="83">
        <v>42</v>
      </c>
      <c r="AP110" s="81">
        <v>16</v>
      </c>
      <c r="AQ110" s="81">
        <v>26</v>
      </c>
      <c r="AR110" s="83">
        <v>57</v>
      </c>
      <c r="AS110" s="80">
        <v>23</v>
      </c>
      <c r="AT110" s="80">
        <v>34</v>
      </c>
      <c r="AU110" s="83">
        <v>42</v>
      </c>
      <c r="AV110" s="84">
        <v>10</v>
      </c>
      <c r="AW110" s="84">
        <v>32</v>
      </c>
      <c r="AX110" s="81">
        <v>777</v>
      </c>
      <c r="AY110" s="81">
        <v>293</v>
      </c>
      <c r="AZ110" s="81">
        <v>484</v>
      </c>
      <c r="BA110" s="81">
        <v>62</v>
      </c>
      <c r="BB110" s="84">
        <v>21</v>
      </c>
      <c r="BC110" s="84">
        <v>41</v>
      </c>
      <c r="BD110" s="81">
        <v>25</v>
      </c>
      <c r="BE110" s="80">
        <v>13</v>
      </c>
      <c r="BF110" s="80">
        <v>12</v>
      </c>
      <c r="BG110" s="81">
        <v>49</v>
      </c>
      <c r="BH110" s="81">
        <v>11</v>
      </c>
      <c r="BI110" s="81">
        <v>38</v>
      </c>
      <c r="BJ110" s="81">
        <v>41</v>
      </c>
      <c r="BK110" s="80">
        <v>19</v>
      </c>
      <c r="BL110" s="80">
        <v>22</v>
      </c>
      <c r="BM110" s="81">
        <v>34</v>
      </c>
      <c r="BN110" s="81">
        <v>12</v>
      </c>
      <c r="BO110" s="81">
        <v>22</v>
      </c>
      <c r="BP110" s="81">
        <v>111</v>
      </c>
      <c r="BQ110" s="80">
        <v>46</v>
      </c>
      <c r="BR110" s="80">
        <v>65</v>
      </c>
      <c r="BS110" s="81">
        <v>43</v>
      </c>
      <c r="BT110" s="80">
        <v>19</v>
      </c>
      <c r="BU110" s="80">
        <v>24</v>
      </c>
      <c r="BV110" s="81">
        <v>76</v>
      </c>
      <c r="BW110" s="80">
        <v>25</v>
      </c>
      <c r="BX110" s="80">
        <v>51</v>
      </c>
      <c r="BY110" s="81">
        <v>38</v>
      </c>
      <c r="BZ110" s="85">
        <v>15</v>
      </c>
      <c r="CA110" s="85">
        <v>23</v>
      </c>
      <c r="CB110" s="81">
        <v>57</v>
      </c>
      <c r="CC110" s="80">
        <v>17</v>
      </c>
      <c r="CD110" s="80">
        <v>40</v>
      </c>
      <c r="CE110" s="81">
        <v>31</v>
      </c>
      <c r="CF110" s="80">
        <v>7</v>
      </c>
      <c r="CG110" s="80">
        <v>24</v>
      </c>
      <c r="CH110" s="81">
        <v>28</v>
      </c>
      <c r="CI110" s="80">
        <v>15</v>
      </c>
      <c r="CJ110" s="80">
        <v>13</v>
      </c>
      <c r="CK110" s="81">
        <v>43</v>
      </c>
      <c r="CL110" s="84">
        <v>15</v>
      </c>
      <c r="CM110" s="84">
        <v>28</v>
      </c>
      <c r="CN110" s="81">
        <v>53</v>
      </c>
      <c r="CO110" s="80">
        <v>20</v>
      </c>
      <c r="CP110" s="80">
        <v>33</v>
      </c>
      <c r="CQ110" s="81">
        <v>39</v>
      </c>
      <c r="CR110" s="80">
        <v>12</v>
      </c>
      <c r="CS110" s="80">
        <v>27</v>
      </c>
      <c r="CT110" s="81">
        <v>24</v>
      </c>
      <c r="CU110" s="80">
        <v>12</v>
      </c>
      <c r="CV110" s="80">
        <v>12</v>
      </c>
      <c r="CW110" s="81">
        <v>23</v>
      </c>
      <c r="CX110" s="80">
        <v>14</v>
      </c>
      <c r="CY110" s="80">
        <v>9</v>
      </c>
    </row>
    <row r="111" spans="1:103" ht="18.75" customHeight="1" x14ac:dyDescent="0.15">
      <c r="A111" s="87" t="s">
        <v>68</v>
      </c>
      <c r="B111" s="83">
        <v>1324</v>
      </c>
      <c r="C111" s="83">
        <v>430</v>
      </c>
      <c r="D111" s="83">
        <v>894</v>
      </c>
      <c r="E111" s="81">
        <v>654</v>
      </c>
      <c r="F111" s="81">
        <v>204</v>
      </c>
      <c r="G111" s="81">
        <v>450</v>
      </c>
      <c r="H111" s="83">
        <v>33</v>
      </c>
      <c r="I111" s="84">
        <v>10</v>
      </c>
      <c r="J111" s="84">
        <v>23</v>
      </c>
      <c r="K111" s="83">
        <v>58</v>
      </c>
      <c r="L111" s="86">
        <v>17</v>
      </c>
      <c r="M111" s="86">
        <v>41</v>
      </c>
      <c r="N111" s="83">
        <v>26</v>
      </c>
      <c r="O111" s="81">
        <v>7</v>
      </c>
      <c r="P111" s="81">
        <v>19</v>
      </c>
      <c r="Q111" s="83">
        <v>29</v>
      </c>
      <c r="R111" s="82">
        <v>8</v>
      </c>
      <c r="S111" s="82">
        <v>21</v>
      </c>
      <c r="T111" s="83">
        <v>55</v>
      </c>
      <c r="U111" s="80">
        <v>20</v>
      </c>
      <c r="V111" s="80">
        <v>35</v>
      </c>
      <c r="W111" s="83">
        <v>63</v>
      </c>
      <c r="X111" s="84">
        <v>17</v>
      </c>
      <c r="Y111" s="84">
        <v>46</v>
      </c>
      <c r="Z111" s="83">
        <v>22</v>
      </c>
      <c r="AA111" s="84">
        <v>9</v>
      </c>
      <c r="AB111" s="84">
        <v>13</v>
      </c>
      <c r="AC111" s="83">
        <v>30</v>
      </c>
      <c r="AD111" s="81">
        <v>9</v>
      </c>
      <c r="AE111" s="81">
        <v>21</v>
      </c>
      <c r="AF111" s="83">
        <v>45</v>
      </c>
      <c r="AG111" s="80">
        <v>16</v>
      </c>
      <c r="AH111" s="80">
        <v>29</v>
      </c>
      <c r="AI111" s="83">
        <v>53</v>
      </c>
      <c r="AJ111" s="80">
        <v>22</v>
      </c>
      <c r="AK111" s="80">
        <v>31</v>
      </c>
      <c r="AL111" s="83">
        <v>106</v>
      </c>
      <c r="AM111" s="84">
        <v>31</v>
      </c>
      <c r="AN111" s="84">
        <v>75</v>
      </c>
      <c r="AO111" s="83">
        <v>38</v>
      </c>
      <c r="AP111" s="81">
        <v>8</v>
      </c>
      <c r="AQ111" s="81">
        <v>30</v>
      </c>
      <c r="AR111" s="83">
        <v>56</v>
      </c>
      <c r="AS111" s="80">
        <v>15</v>
      </c>
      <c r="AT111" s="80">
        <v>41</v>
      </c>
      <c r="AU111" s="83">
        <v>40</v>
      </c>
      <c r="AV111" s="84">
        <v>15</v>
      </c>
      <c r="AW111" s="84">
        <v>25</v>
      </c>
      <c r="AX111" s="81">
        <v>670</v>
      </c>
      <c r="AY111" s="81">
        <v>226</v>
      </c>
      <c r="AZ111" s="81">
        <v>444</v>
      </c>
      <c r="BA111" s="81">
        <v>53</v>
      </c>
      <c r="BB111" s="84">
        <v>22</v>
      </c>
      <c r="BC111" s="84">
        <v>31</v>
      </c>
      <c r="BD111" s="81">
        <v>21</v>
      </c>
      <c r="BE111" s="80">
        <v>9</v>
      </c>
      <c r="BF111" s="80">
        <v>12</v>
      </c>
      <c r="BG111" s="81">
        <v>40</v>
      </c>
      <c r="BH111" s="81">
        <v>14</v>
      </c>
      <c r="BI111" s="81">
        <v>26</v>
      </c>
      <c r="BJ111" s="81">
        <v>32</v>
      </c>
      <c r="BK111" s="80">
        <v>6</v>
      </c>
      <c r="BL111" s="80">
        <v>26</v>
      </c>
      <c r="BM111" s="81">
        <v>32</v>
      </c>
      <c r="BN111" s="81">
        <v>4</v>
      </c>
      <c r="BO111" s="81">
        <v>28</v>
      </c>
      <c r="BP111" s="81">
        <v>91</v>
      </c>
      <c r="BQ111" s="80">
        <v>36</v>
      </c>
      <c r="BR111" s="80">
        <v>55</v>
      </c>
      <c r="BS111" s="81">
        <v>42</v>
      </c>
      <c r="BT111" s="80">
        <v>15</v>
      </c>
      <c r="BU111" s="80">
        <v>27</v>
      </c>
      <c r="BV111" s="81">
        <v>52</v>
      </c>
      <c r="BW111" s="80">
        <v>16</v>
      </c>
      <c r="BX111" s="80">
        <v>36</v>
      </c>
      <c r="BY111" s="81">
        <v>44</v>
      </c>
      <c r="BZ111" s="85">
        <v>12</v>
      </c>
      <c r="CA111" s="85">
        <v>32</v>
      </c>
      <c r="CB111" s="81">
        <v>45</v>
      </c>
      <c r="CC111" s="80">
        <v>13</v>
      </c>
      <c r="CD111" s="80">
        <v>32</v>
      </c>
      <c r="CE111" s="81">
        <v>27</v>
      </c>
      <c r="CF111" s="80">
        <v>10</v>
      </c>
      <c r="CG111" s="80">
        <v>17</v>
      </c>
      <c r="CH111" s="81">
        <v>22</v>
      </c>
      <c r="CI111" s="80">
        <v>11</v>
      </c>
      <c r="CJ111" s="80">
        <v>11</v>
      </c>
      <c r="CK111" s="81">
        <v>41</v>
      </c>
      <c r="CL111" s="84">
        <v>18</v>
      </c>
      <c r="CM111" s="84">
        <v>23</v>
      </c>
      <c r="CN111" s="81">
        <v>40</v>
      </c>
      <c r="CO111" s="80">
        <v>12</v>
      </c>
      <c r="CP111" s="80">
        <v>28</v>
      </c>
      <c r="CQ111" s="81">
        <v>39</v>
      </c>
      <c r="CR111" s="80">
        <v>12</v>
      </c>
      <c r="CS111" s="80">
        <v>27</v>
      </c>
      <c r="CT111" s="81">
        <v>19</v>
      </c>
      <c r="CU111" s="80">
        <v>5</v>
      </c>
      <c r="CV111" s="80">
        <v>14</v>
      </c>
      <c r="CW111" s="81">
        <v>30</v>
      </c>
      <c r="CX111" s="80">
        <v>11</v>
      </c>
      <c r="CY111" s="80">
        <v>19</v>
      </c>
    </row>
    <row r="112" spans="1:103" ht="18.75" customHeight="1" x14ac:dyDescent="0.15">
      <c r="A112" s="87" t="s">
        <v>67</v>
      </c>
      <c r="B112" s="83">
        <v>1176</v>
      </c>
      <c r="C112" s="83">
        <v>335</v>
      </c>
      <c r="D112" s="83">
        <v>841</v>
      </c>
      <c r="E112" s="81">
        <v>592</v>
      </c>
      <c r="F112" s="81">
        <v>176</v>
      </c>
      <c r="G112" s="81">
        <v>416</v>
      </c>
      <c r="H112" s="83">
        <v>26</v>
      </c>
      <c r="I112" s="84">
        <v>9</v>
      </c>
      <c r="J112" s="84">
        <v>17</v>
      </c>
      <c r="K112" s="83">
        <v>63</v>
      </c>
      <c r="L112" s="86">
        <v>19</v>
      </c>
      <c r="M112" s="86">
        <v>44</v>
      </c>
      <c r="N112" s="83">
        <v>46</v>
      </c>
      <c r="O112" s="81">
        <v>16</v>
      </c>
      <c r="P112" s="81">
        <v>30</v>
      </c>
      <c r="Q112" s="83">
        <v>23</v>
      </c>
      <c r="R112" s="82">
        <v>4</v>
      </c>
      <c r="S112" s="82">
        <v>19</v>
      </c>
      <c r="T112" s="83">
        <v>48</v>
      </c>
      <c r="U112" s="80">
        <v>12</v>
      </c>
      <c r="V112" s="80">
        <v>36</v>
      </c>
      <c r="W112" s="83">
        <v>40</v>
      </c>
      <c r="X112" s="84">
        <v>15</v>
      </c>
      <c r="Y112" s="84">
        <v>25</v>
      </c>
      <c r="Z112" s="83">
        <v>30</v>
      </c>
      <c r="AA112" s="84">
        <v>12</v>
      </c>
      <c r="AB112" s="84">
        <v>18</v>
      </c>
      <c r="AC112" s="83">
        <v>25</v>
      </c>
      <c r="AD112" s="81">
        <v>8</v>
      </c>
      <c r="AE112" s="81">
        <v>17</v>
      </c>
      <c r="AF112" s="83">
        <v>59</v>
      </c>
      <c r="AG112" s="80">
        <v>17</v>
      </c>
      <c r="AH112" s="80">
        <v>42</v>
      </c>
      <c r="AI112" s="83">
        <v>53</v>
      </c>
      <c r="AJ112" s="80">
        <v>16</v>
      </c>
      <c r="AK112" s="80">
        <v>37</v>
      </c>
      <c r="AL112" s="83">
        <v>77</v>
      </c>
      <c r="AM112" s="84">
        <v>24</v>
      </c>
      <c r="AN112" s="84">
        <v>53</v>
      </c>
      <c r="AO112" s="83">
        <v>21</v>
      </c>
      <c r="AP112" s="81">
        <v>4</v>
      </c>
      <c r="AQ112" s="81">
        <v>17</v>
      </c>
      <c r="AR112" s="83">
        <v>42</v>
      </c>
      <c r="AS112" s="80">
        <v>10</v>
      </c>
      <c r="AT112" s="80">
        <v>32</v>
      </c>
      <c r="AU112" s="83">
        <v>39</v>
      </c>
      <c r="AV112" s="84">
        <v>10</v>
      </c>
      <c r="AW112" s="84">
        <v>29</v>
      </c>
      <c r="AX112" s="81">
        <v>584</v>
      </c>
      <c r="AY112" s="81">
        <v>159</v>
      </c>
      <c r="AZ112" s="81">
        <v>425</v>
      </c>
      <c r="BA112" s="81">
        <v>34</v>
      </c>
      <c r="BB112" s="84">
        <v>8</v>
      </c>
      <c r="BC112" s="84">
        <v>26</v>
      </c>
      <c r="BD112" s="81">
        <v>19</v>
      </c>
      <c r="BE112" s="80">
        <v>4</v>
      </c>
      <c r="BF112" s="80">
        <v>15</v>
      </c>
      <c r="BG112" s="81">
        <v>37</v>
      </c>
      <c r="BH112" s="81">
        <v>7</v>
      </c>
      <c r="BI112" s="81">
        <v>30</v>
      </c>
      <c r="BJ112" s="81">
        <v>37</v>
      </c>
      <c r="BK112" s="80">
        <v>10</v>
      </c>
      <c r="BL112" s="80">
        <v>27</v>
      </c>
      <c r="BM112" s="81">
        <v>26</v>
      </c>
      <c r="BN112" s="81">
        <v>2</v>
      </c>
      <c r="BO112" s="81">
        <v>24</v>
      </c>
      <c r="BP112" s="81">
        <v>84</v>
      </c>
      <c r="BQ112" s="80">
        <v>22</v>
      </c>
      <c r="BR112" s="80">
        <v>62</v>
      </c>
      <c r="BS112" s="81">
        <v>38</v>
      </c>
      <c r="BT112" s="80">
        <v>10</v>
      </c>
      <c r="BU112" s="80">
        <v>28</v>
      </c>
      <c r="BV112" s="81">
        <v>41</v>
      </c>
      <c r="BW112" s="80">
        <v>10</v>
      </c>
      <c r="BX112" s="80">
        <v>31</v>
      </c>
      <c r="BY112" s="81">
        <v>30</v>
      </c>
      <c r="BZ112" s="85">
        <v>12</v>
      </c>
      <c r="CA112" s="85">
        <v>18</v>
      </c>
      <c r="CB112" s="81">
        <v>38</v>
      </c>
      <c r="CC112" s="80">
        <v>9</v>
      </c>
      <c r="CD112" s="80">
        <v>29</v>
      </c>
      <c r="CE112" s="81">
        <v>27</v>
      </c>
      <c r="CF112" s="80">
        <v>12</v>
      </c>
      <c r="CG112" s="80">
        <v>15</v>
      </c>
      <c r="CH112" s="81">
        <v>19</v>
      </c>
      <c r="CI112" s="80">
        <v>7</v>
      </c>
      <c r="CJ112" s="80">
        <v>12</v>
      </c>
      <c r="CK112" s="81">
        <v>46</v>
      </c>
      <c r="CL112" s="84">
        <v>11</v>
      </c>
      <c r="CM112" s="84">
        <v>35</v>
      </c>
      <c r="CN112" s="81">
        <v>46</v>
      </c>
      <c r="CO112" s="80">
        <v>15</v>
      </c>
      <c r="CP112" s="80">
        <v>31</v>
      </c>
      <c r="CQ112" s="81">
        <v>25</v>
      </c>
      <c r="CR112" s="80">
        <v>9</v>
      </c>
      <c r="CS112" s="80">
        <v>16</v>
      </c>
      <c r="CT112" s="81">
        <v>19</v>
      </c>
      <c r="CU112" s="80">
        <v>4</v>
      </c>
      <c r="CV112" s="80">
        <v>15</v>
      </c>
      <c r="CW112" s="81">
        <v>18</v>
      </c>
      <c r="CX112" s="80">
        <v>7</v>
      </c>
      <c r="CY112" s="80">
        <v>11</v>
      </c>
    </row>
    <row r="113" spans="1:103" ht="18.75" customHeight="1" x14ac:dyDescent="0.15">
      <c r="A113" s="87" t="s">
        <v>66</v>
      </c>
      <c r="B113" s="83">
        <v>937</v>
      </c>
      <c r="C113" s="83">
        <v>252</v>
      </c>
      <c r="D113" s="83">
        <v>685</v>
      </c>
      <c r="E113" s="81">
        <v>453</v>
      </c>
      <c r="F113" s="81">
        <v>130</v>
      </c>
      <c r="G113" s="81">
        <v>323</v>
      </c>
      <c r="H113" s="83">
        <v>28</v>
      </c>
      <c r="I113" s="84">
        <v>12</v>
      </c>
      <c r="J113" s="84">
        <v>16</v>
      </c>
      <c r="K113" s="83">
        <v>42</v>
      </c>
      <c r="L113" s="86">
        <v>12</v>
      </c>
      <c r="M113" s="86">
        <v>30</v>
      </c>
      <c r="N113" s="83">
        <v>33</v>
      </c>
      <c r="O113" s="81">
        <v>3</v>
      </c>
      <c r="P113" s="81">
        <v>30</v>
      </c>
      <c r="Q113" s="83">
        <v>15</v>
      </c>
      <c r="R113" s="82">
        <v>4</v>
      </c>
      <c r="S113" s="82">
        <v>11</v>
      </c>
      <c r="T113" s="83">
        <v>31</v>
      </c>
      <c r="U113" s="80">
        <v>11</v>
      </c>
      <c r="V113" s="80">
        <v>20</v>
      </c>
      <c r="W113" s="83">
        <v>37</v>
      </c>
      <c r="X113" s="84">
        <v>15</v>
      </c>
      <c r="Y113" s="84">
        <v>22</v>
      </c>
      <c r="Z113" s="83">
        <v>20</v>
      </c>
      <c r="AA113" s="84">
        <v>7</v>
      </c>
      <c r="AB113" s="84">
        <v>13</v>
      </c>
      <c r="AC113" s="83">
        <v>13</v>
      </c>
      <c r="AD113" s="81">
        <v>5</v>
      </c>
      <c r="AE113" s="81">
        <v>8</v>
      </c>
      <c r="AF113" s="83">
        <v>40</v>
      </c>
      <c r="AG113" s="80">
        <v>13</v>
      </c>
      <c r="AH113" s="80">
        <v>27</v>
      </c>
      <c r="AI113" s="83">
        <v>40</v>
      </c>
      <c r="AJ113" s="80">
        <v>11</v>
      </c>
      <c r="AK113" s="80">
        <v>29</v>
      </c>
      <c r="AL113" s="83">
        <v>67</v>
      </c>
      <c r="AM113" s="84">
        <v>18</v>
      </c>
      <c r="AN113" s="84">
        <v>49</v>
      </c>
      <c r="AO113" s="83">
        <v>27</v>
      </c>
      <c r="AP113" s="81">
        <v>5</v>
      </c>
      <c r="AQ113" s="81">
        <v>22</v>
      </c>
      <c r="AR113" s="83">
        <v>39</v>
      </c>
      <c r="AS113" s="80">
        <v>7</v>
      </c>
      <c r="AT113" s="80">
        <v>32</v>
      </c>
      <c r="AU113" s="83">
        <v>21</v>
      </c>
      <c r="AV113" s="84">
        <v>7</v>
      </c>
      <c r="AW113" s="84">
        <v>14</v>
      </c>
      <c r="AX113" s="81">
        <v>484</v>
      </c>
      <c r="AY113" s="81">
        <v>122</v>
      </c>
      <c r="AZ113" s="81">
        <v>362</v>
      </c>
      <c r="BA113" s="81">
        <v>35</v>
      </c>
      <c r="BB113" s="84">
        <v>8</v>
      </c>
      <c r="BC113" s="84">
        <v>27</v>
      </c>
      <c r="BD113" s="81">
        <v>15</v>
      </c>
      <c r="BE113" s="80">
        <v>4</v>
      </c>
      <c r="BF113" s="80">
        <v>11</v>
      </c>
      <c r="BG113" s="81">
        <v>36</v>
      </c>
      <c r="BH113" s="81">
        <v>8</v>
      </c>
      <c r="BI113" s="81">
        <v>28</v>
      </c>
      <c r="BJ113" s="81">
        <v>20</v>
      </c>
      <c r="BK113" s="80">
        <v>4</v>
      </c>
      <c r="BL113" s="80">
        <v>16</v>
      </c>
      <c r="BM113" s="81">
        <v>18</v>
      </c>
      <c r="BN113" s="81">
        <v>4</v>
      </c>
      <c r="BO113" s="81">
        <v>14</v>
      </c>
      <c r="BP113" s="81">
        <v>74</v>
      </c>
      <c r="BQ113" s="80">
        <v>21</v>
      </c>
      <c r="BR113" s="80">
        <v>53</v>
      </c>
      <c r="BS113" s="81">
        <v>38</v>
      </c>
      <c r="BT113" s="80">
        <v>13</v>
      </c>
      <c r="BU113" s="80">
        <v>25</v>
      </c>
      <c r="BV113" s="81">
        <v>30</v>
      </c>
      <c r="BW113" s="80">
        <v>8</v>
      </c>
      <c r="BX113" s="80">
        <v>22</v>
      </c>
      <c r="BY113" s="81">
        <v>39</v>
      </c>
      <c r="BZ113" s="85">
        <v>11</v>
      </c>
      <c r="CA113" s="85">
        <v>28</v>
      </c>
      <c r="CB113" s="81">
        <v>24</v>
      </c>
      <c r="CC113" s="80">
        <v>6</v>
      </c>
      <c r="CD113" s="80">
        <v>18</v>
      </c>
      <c r="CE113" s="81">
        <v>16</v>
      </c>
      <c r="CF113" s="80">
        <v>7</v>
      </c>
      <c r="CG113" s="80">
        <v>9</v>
      </c>
      <c r="CH113" s="81">
        <v>16</v>
      </c>
      <c r="CI113" s="80">
        <v>3</v>
      </c>
      <c r="CJ113" s="80">
        <v>13</v>
      </c>
      <c r="CK113" s="81">
        <v>33</v>
      </c>
      <c r="CL113" s="84">
        <v>6</v>
      </c>
      <c r="CM113" s="84">
        <v>27</v>
      </c>
      <c r="CN113" s="81">
        <v>33</v>
      </c>
      <c r="CO113" s="80">
        <v>6</v>
      </c>
      <c r="CP113" s="80">
        <v>27</v>
      </c>
      <c r="CQ113" s="81">
        <v>27</v>
      </c>
      <c r="CR113" s="80">
        <v>6</v>
      </c>
      <c r="CS113" s="80">
        <v>21</v>
      </c>
      <c r="CT113" s="81">
        <v>9</v>
      </c>
      <c r="CU113" s="80">
        <v>3</v>
      </c>
      <c r="CV113" s="80">
        <v>6</v>
      </c>
      <c r="CW113" s="81">
        <v>21</v>
      </c>
      <c r="CX113" s="80">
        <v>4</v>
      </c>
      <c r="CY113" s="80">
        <v>17</v>
      </c>
    </row>
    <row r="114" spans="1:103" ht="18.75" customHeight="1" x14ac:dyDescent="0.15">
      <c r="A114" s="57" t="s">
        <v>182</v>
      </c>
      <c r="B114" s="78">
        <v>2658</v>
      </c>
      <c r="C114" s="78">
        <v>658</v>
      </c>
      <c r="D114" s="78">
        <v>2000</v>
      </c>
      <c r="E114" s="78">
        <v>1239</v>
      </c>
      <c r="F114" s="78">
        <v>337</v>
      </c>
      <c r="G114" s="78">
        <v>902</v>
      </c>
      <c r="H114" s="78">
        <v>55</v>
      </c>
      <c r="I114" s="78">
        <v>14</v>
      </c>
      <c r="J114" s="78">
        <v>41</v>
      </c>
      <c r="K114" s="78">
        <v>119</v>
      </c>
      <c r="L114" s="78">
        <v>40</v>
      </c>
      <c r="M114" s="78">
        <v>79</v>
      </c>
      <c r="N114" s="78">
        <v>75</v>
      </c>
      <c r="O114" s="78">
        <v>16</v>
      </c>
      <c r="P114" s="78">
        <v>59</v>
      </c>
      <c r="Q114" s="78">
        <v>56</v>
      </c>
      <c r="R114" s="78">
        <v>24</v>
      </c>
      <c r="S114" s="78">
        <v>32</v>
      </c>
      <c r="T114" s="78">
        <v>89</v>
      </c>
      <c r="U114" s="78">
        <v>18</v>
      </c>
      <c r="V114" s="78">
        <v>71</v>
      </c>
      <c r="W114" s="78">
        <v>121</v>
      </c>
      <c r="X114" s="78">
        <v>37</v>
      </c>
      <c r="Y114" s="78">
        <v>84</v>
      </c>
      <c r="Z114" s="78">
        <v>52</v>
      </c>
      <c r="AA114" s="78">
        <v>10</v>
      </c>
      <c r="AB114" s="78">
        <v>42</v>
      </c>
      <c r="AC114" s="78">
        <v>38</v>
      </c>
      <c r="AD114" s="78">
        <v>13</v>
      </c>
      <c r="AE114" s="78">
        <v>25</v>
      </c>
      <c r="AF114" s="78">
        <v>107</v>
      </c>
      <c r="AG114" s="78">
        <v>28</v>
      </c>
      <c r="AH114" s="78">
        <v>79</v>
      </c>
      <c r="AI114" s="78">
        <v>106</v>
      </c>
      <c r="AJ114" s="78">
        <v>24</v>
      </c>
      <c r="AK114" s="78">
        <v>82</v>
      </c>
      <c r="AL114" s="78">
        <v>171</v>
      </c>
      <c r="AM114" s="78">
        <v>51</v>
      </c>
      <c r="AN114" s="78">
        <v>120</v>
      </c>
      <c r="AO114" s="78">
        <v>65</v>
      </c>
      <c r="AP114" s="78">
        <v>13</v>
      </c>
      <c r="AQ114" s="78">
        <v>52</v>
      </c>
      <c r="AR114" s="78">
        <v>98</v>
      </c>
      <c r="AS114" s="78">
        <v>26</v>
      </c>
      <c r="AT114" s="78">
        <v>72</v>
      </c>
      <c r="AU114" s="78">
        <v>87</v>
      </c>
      <c r="AV114" s="78">
        <v>23</v>
      </c>
      <c r="AW114" s="78">
        <v>64</v>
      </c>
      <c r="AX114" s="78">
        <v>1419</v>
      </c>
      <c r="AY114" s="78">
        <v>321</v>
      </c>
      <c r="AZ114" s="78">
        <v>1098</v>
      </c>
      <c r="BA114" s="78">
        <v>98</v>
      </c>
      <c r="BB114" s="78">
        <v>25</v>
      </c>
      <c r="BC114" s="78">
        <v>73</v>
      </c>
      <c r="BD114" s="78">
        <v>51</v>
      </c>
      <c r="BE114" s="78">
        <v>8</v>
      </c>
      <c r="BF114" s="78">
        <v>43</v>
      </c>
      <c r="BG114" s="78">
        <v>89</v>
      </c>
      <c r="BH114" s="78">
        <v>20</v>
      </c>
      <c r="BI114" s="78">
        <v>69</v>
      </c>
      <c r="BJ114" s="78">
        <v>103</v>
      </c>
      <c r="BK114" s="78">
        <v>19</v>
      </c>
      <c r="BL114" s="78">
        <v>84</v>
      </c>
      <c r="BM114" s="78">
        <v>79</v>
      </c>
      <c r="BN114" s="78">
        <v>14</v>
      </c>
      <c r="BO114" s="78">
        <v>65</v>
      </c>
      <c r="BP114" s="78">
        <v>184</v>
      </c>
      <c r="BQ114" s="78">
        <v>41</v>
      </c>
      <c r="BR114" s="78">
        <v>143</v>
      </c>
      <c r="BS114" s="78">
        <v>78</v>
      </c>
      <c r="BT114" s="78">
        <v>22</v>
      </c>
      <c r="BU114" s="78">
        <v>56</v>
      </c>
      <c r="BV114" s="78">
        <v>104</v>
      </c>
      <c r="BW114" s="78">
        <v>22</v>
      </c>
      <c r="BX114" s="78">
        <v>82</v>
      </c>
      <c r="BY114" s="78">
        <v>63</v>
      </c>
      <c r="BZ114" s="78">
        <v>19</v>
      </c>
      <c r="CA114" s="78">
        <v>44</v>
      </c>
      <c r="CB114" s="78">
        <v>90</v>
      </c>
      <c r="CC114" s="78">
        <v>16</v>
      </c>
      <c r="CD114" s="78">
        <v>74</v>
      </c>
      <c r="CE114" s="78">
        <v>57</v>
      </c>
      <c r="CF114" s="78">
        <v>23</v>
      </c>
      <c r="CG114" s="78">
        <v>34</v>
      </c>
      <c r="CH114" s="78">
        <v>50</v>
      </c>
      <c r="CI114" s="78">
        <v>8</v>
      </c>
      <c r="CJ114" s="78">
        <v>42</v>
      </c>
      <c r="CK114" s="78">
        <v>89</v>
      </c>
      <c r="CL114" s="78">
        <v>23</v>
      </c>
      <c r="CM114" s="78">
        <v>66</v>
      </c>
      <c r="CN114" s="78">
        <v>83</v>
      </c>
      <c r="CO114" s="78">
        <v>13</v>
      </c>
      <c r="CP114" s="78">
        <v>70</v>
      </c>
      <c r="CQ114" s="78">
        <v>86</v>
      </c>
      <c r="CR114" s="78">
        <v>21</v>
      </c>
      <c r="CS114" s="78">
        <v>65</v>
      </c>
      <c r="CT114" s="78">
        <v>46</v>
      </c>
      <c r="CU114" s="78">
        <v>8</v>
      </c>
      <c r="CV114" s="78">
        <v>38</v>
      </c>
      <c r="CW114" s="78">
        <v>69</v>
      </c>
      <c r="CX114" s="78">
        <v>19</v>
      </c>
      <c r="CY114" s="78">
        <v>50</v>
      </c>
    </row>
    <row r="115" spans="1:103" ht="18.75" customHeight="1" x14ac:dyDescent="0.15">
      <c r="A115" s="87" t="s">
        <v>64</v>
      </c>
      <c r="B115" s="83">
        <v>846</v>
      </c>
      <c r="C115" s="83">
        <v>225</v>
      </c>
      <c r="D115" s="83">
        <v>621</v>
      </c>
      <c r="E115" s="81">
        <v>397</v>
      </c>
      <c r="F115" s="81">
        <v>120</v>
      </c>
      <c r="G115" s="81">
        <v>277</v>
      </c>
      <c r="H115" s="83">
        <v>20</v>
      </c>
      <c r="I115" s="84">
        <v>9</v>
      </c>
      <c r="J115" s="84">
        <v>11</v>
      </c>
      <c r="K115" s="83">
        <v>48</v>
      </c>
      <c r="L115" s="86">
        <v>18</v>
      </c>
      <c r="M115" s="86">
        <v>30</v>
      </c>
      <c r="N115" s="83">
        <v>33</v>
      </c>
      <c r="O115" s="81">
        <v>6</v>
      </c>
      <c r="P115" s="81">
        <v>27</v>
      </c>
      <c r="Q115" s="83">
        <v>12</v>
      </c>
      <c r="R115" s="82">
        <v>6</v>
      </c>
      <c r="S115" s="82">
        <v>6</v>
      </c>
      <c r="T115" s="83">
        <v>35</v>
      </c>
      <c r="U115" s="80">
        <v>12</v>
      </c>
      <c r="V115" s="80">
        <v>23</v>
      </c>
      <c r="W115" s="83">
        <v>32</v>
      </c>
      <c r="X115" s="84">
        <v>8</v>
      </c>
      <c r="Y115" s="84">
        <v>24</v>
      </c>
      <c r="Z115" s="83">
        <v>14</v>
      </c>
      <c r="AA115" s="84">
        <v>4</v>
      </c>
      <c r="AB115" s="84">
        <v>10</v>
      </c>
      <c r="AC115" s="83">
        <v>15</v>
      </c>
      <c r="AD115" s="81">
        <v>7</v>
      </c>
      <c r="AE115" s="81">
        <v>8</v>
      </c>
      <c r="AF115" s="83">
        <v>33</v>
      </c>
      <c r="AG115" s="80">
        <v>9</v>
      </c>
      <c r="AH115" s="80">
        <v>24</v>
      </c>
      <c r="AI115" s="83">
        <v>36</v>
      </c>
      <c r="AJ115" s="80">
        <v>9</v>
      </c>
      <c r="AK115" s="80">
        <v>27</v>
      </c>
      <c r="AL115" s="83">
        <v>51</v>
      </c>
      <c r="AM115" s="84">
        <v>16</v>
      </c>
      <c r="AN115" s="84">
        <v>35</v>
      </c>
      <c r="AO115" s="83">
        <v>14</v>
      </c>
      <c r="AP115" s="81">
        <v>2</v>
      </c>
      <c r="AQ115" s="81">
        <v>12</v>
      </c>
      <c r="AR115" s="83">
        <v>29</v>
      </c>
      <c r="AS115" s="80">
        <v>8</v>
      </c>
      <c r="AT115" s="80">
        <v>21</v>
      </c>
      <c r="AU115" s="83">
        <v>25</v>
      </c>
      <c r="AV115" s="84">
        <v>6</v>
      </c>
      <c r="AW115" s="84">
        <v>19</v>
      </c>
      <c r="AX115" s="81">
        <v>449</v>
      </c>
      <c r="AY115" s="81">
        <v>105</v>
      </c>
      <c r="AZ115" s="81">
        <v>344</v>
      </c>
      <c r="BA115" s="81">
        <v>33</v>
      </c>
      <c r="BB115" s="84">
        <v>11</v>
      </c>
      <c r="BC115" s="84">
        <v>22</v>
      </c>
      <c r="BD115" s="81">
        <v>13</v>
      </c>
      <c r="BE115" s="80">
        <v>3</v>
      </c>
      <c r="BF115" s="80">
        <v>10</v>
      </c>
      <c r="BG115" s="81">
        <v>27</v>
      </c>
      <c r="BH115" s="81">
        <v>4</v>
      </c>
      <c r="BI115" s="81">
        <v>23</v>
      </c>
      <c r="BJ115" s="81">
        <v>37</v>
      </c>
      <c r="BK115" s="80">
        <v>7</v>
      </c>
      <c r="BL115" s="80">
        <v>30</v>
      </c>
      <c r="BM115" s="81">
        <v>22</v>
      </c>
      <c r="BN115" s="81">
        <v>4</v>
      </c>
      <c r="BO115" s="81">
        <v>18</v>
      </c>
      <c r="BP115" s="81">
        <v>63</v>
      </c>
      <c r="BQ115" s="80">
        <v>13</v>
      </c>
      <c r="BR115" s="80">
        <v>50</v>
      </c>
      <c r="BS115" s="81">
        <v>27</v>
      </c>
      <c r="BT115" s="80">
        <v>7</v>
      </c>
      <c r="BU115" s="80">
        <v>20</v>
      </c>
      <c r="BV115" s="81">
        <v>37</v>
      </c>
      <c r="BW115" s="80">
        <v>6</v>
      </c>
      <c r="BX115" s="80">
        <v>31</v>
      </c>
      <c r="BY115" s="81">
        <v>19</v>
      </c>
      <c r="BZ115" s="85">
        <v>6</v>
      </c>
      <c r="CA115" s="85">
        <v>13</v>
      </c>
      <c r="CB115" s="81">
        <v>20</v>
      </c>
      <c r="CC115" s="80">
        <v>5</v>
      </c>
      <c r="CD115" s="80">
        <v>15</v>
      </c>
      <c r="CE115" s="81">
        <v>19</v>
      </c>
      <c r="CF115" s="80">
        <v>9</v>
      </c>
      <c r="CG115" s="80">
        <v>10</v>
      </c>
      <c r="CH115" s="81">
        <v>18</v>
      </c>
      <c r="CI115" s="80">
        <v>5</v>
      </c>
      <c r="CJ115" s="80">
        <v>13</v>
      </c>
      <c r="CK115" s="81">
        <v>23</v>
      </c>
      <c r="CL115" s="84">
        <v>8</v>
      </c>
      <c r="CM115" s="84">
        <v>15</v>
      </c>
      <c r="CN115" s="81">
        <v>23</v>
      </c>
      <c r="CO115" s="80">
        <v>4</v>
      </c>
      <c r="CP115" s="80">
        <v>19</v>
      </c>
      <c r="CQ115" s="81">
        <v>28</v>
      </c>
      <c r="CR115" s="80">
        <v>8</v>
      </c>
      <c r="CS115" s="80">
        <v>20</v>
      </c>
      <c r="CT115" s="81">
        <v>24</v>
      </c>
      <c r="CU115" s="82">
        <v>2</v>
      </c>
      <c r="CV115" s="80">
        <v>22</v>
      </c>
      <c r="CW115" s="81">
        <v>16</v>
      </c>
      <c r="CX115" s="80">
        <v>3</v>
      </c>
      <c r="CY115" s="80">
        <v>13</v>
      </c>
    </row>
    <row r="116" spans="1:103" ht="18.75" customHeight="1" x14ac:dyDescent="0.15">
      <c r="A116" s="87" t="s">
        <v>63</v>
      </c>
      <c r="B116" s="83">
        <v>634</v>
      </c>
      <c r="C116" s="83">
        <v>171</v>
      </c>
      <c r="D116" s="83">
        <v>463</v>
      </c>
      <c r="E116" s="81">
        <v>304</v>
      </c>
      <c r="F116" s="81">
        <v>78</v>
      </c>
      <c r="G116" s="81">
        <v>226</v>
      </c>
      <c r="H116" s="83">
        <v>9</v>
      </c>
      <c r="I116" s="84">
        <v>2</v>
      </c>
      <c r="J116" s="84">
        <v>7</v>
      </c>
      <c r="K116" s="83">
        <v>30</v>
      </c>
      <c r="L116" s="86">
        <v>10</v>
      </c>
      <c r="M116" s="86">
        <v>20</v>
      </c>
      <c r="N116" s="83">
        <v>16</v>
      </c>
      <c r="O116" s="81">
        <v>4</v>
      </c>
      <c r="P116" s="81">
        <v>12</v>
      </c>
      <c r="Q116" s="83">
        <v>16</v>
      </c>
      <c r="R116" s="82">
        <v>6</v>
      </c>
      <c r="S116" s="82">
        <v>10</v>
      </c>
      <c r="T116" s="83">
        <v>18</v>
      </c>
      <c r="U116" s="80">
        <v>2</v>
      </c>
      <c r="V116" s="80">
        <v>16</v>
      </c>
      <c r="W116" s="83">
        <v>32</v>
      </c>
      <c r="X116" s="84">
        <v>10</v>
      </c>
      <c r="Y116" s="84">
        <v>22</v>
      </c>
      <c r="Z116" s="83">
        <v>12</v>
      </c>
      <c r="AA116" s="84">
        <v>3</v>
      </c>
      <c r="AB116" s="84">
        <v>9</v>
      </c>
      <c r="AC116" s="83">
        <v>9</v>
      </c>
      <c r="AD116" s="81">
        <v>2</v>
      </c>
      <c r="AE116" s="81">
        <v>7</v>
      </c>
      <c r="AF116" s="83">
        <v>20</v>
      </c>
      <c r="AG116" s="80">
        <v>4</v>
      </c>
      <c r="AH116" s="80">
        <v>16</v>
      </c>
      <c r="AI116" s="83">
        <v>26</v>
      </c>
      <c r="AJ116" s="80">
        <v>5</v>
      </c>
      <c r="AK116" s="80">
        <v>21</v>
      </c>
      <c r="AL116" s="83">
        <v>50</v>
      </c>
      <c r="AM116" s="84">
        <v>14</v>
      </c>
      <c r="AN116" s="84">
        <v>36</v>
      </c>
      <c r="AO116" s="83">
        <v>20</v>
      </c>
      <c r="AP116" s="81">
        <v>4</v>
      </c>
      <c r="AQ116" s="81">
        <v>16</v>
      </c>
      <c r="AR116" s="83">
        <v>25</v>
      </c>
      <c r="AS116" s="80">
        <v>6</v>
      </c>
      <c r="AT116" s="80">
        <v>19</v>
      </c>
      <c r="AU116" s="83">
        <v>21</v>
      </c>
      <c r="AV116" s="84">
        <v>6</v>
      </c>
      <c r="AW116" s="84">
        <v>15</v>
      </c>
      <c r="AX116" s="81">
        <v>330</v>
      </c>
      <c r="AY116" s="81">
        <v>93</v>
      </c>
      <c r="AZ116" s="81">
        <v>237</v>
      </c>
      <c r="BA116" s="81">
        <v>26</v>
      </c>
      <c r="BB116" s="84">
        <v>8</v>
      </c>
      <c r="BC116" s="84">
        <v>18</v>
      </c>
      <c r="BD116" s="81">
        <v>13</v>
      </c>
      <c r="BE116" s="80">
        <v>2</v>
      </c>
      <c r="BF116" s="80">
        <v>11</v>
      </c>
      <c r="BG116" s="81">
        <v>22</v>
      </c>
      <c r="BH116" s="81">
        <v>6</v>
      </c>
      <c r="BI116" s="81">
        <v>16</v>
      </c>
      <c r="BJ116" s="81">
        <v>15</v>
      </c>
      <c r="BK116" s="80">
        <v>4</v>
      </c>
      <c r="BL116" s="80">
        <v>11</v>
      </c>
      <c r="BM116" s="81">
        <v>24</v>
      </c>
      <c r="BN116" s="81">
        <v>6</v>
      </c>
      <c r="BO116" s="81">
        <v>18</v>
      </c>
      <c r="BP116" s="81">
        <v>38</v>
      </c>
      <c r="BQ116" s="80">
        <v>12</v>
      </c>
      <c r="BR116" s="80">
        <v>26</v>
      </c>
      <c r="BS116" s="81">
        <v>17</v>
      </c>
      <c r="BT116" s="80">
        <v>8</v>
      </c>
      <c r="BU116" s="80">
        <v>9</v>
      </c>
      <c r="BV116" s="81">
        <v>27</v>
      </c>
      <c r="BW116" s="80">
        <v>9</v>
      </c>
      <c r="BX116" s="80">
        <v>18</v>
      </c>
      <c r="BY116" s="81">
        <v>19</v>
      </c>
      <c r="BZ116" s="85">
        <v>5</v>
      </c>
      <c r="CA116" s="85">
        <v>14</v>
      </c>
      <c r="CB116" s="81">
        <v>22</v>
      </c>
      <c r="CC116" s="80">
        <v>4</v>
      </c>
      <c r="CD116" s="80">
        <v>18</v>
      </c>
      <c r="CE116" s="81">
        <v>9</v>
      </c>
      <c r="CF116" s="80">
        <v>3</v>
      </c>
      <c r="CG116" s="80">
        <v>6</v>
      </c>
      <c r="CH116" s="81">
        <v>12</v>
      </c>
      <c r="CI116" s="80">
        <v>1</v>
      </c>
      <c r="CJ116" s="80">
        <v>11</v>
      </c>
      <c r="CK116" s="81">
        <v>25</v>
      </c>
      <c r="CL116" s="84">
        <v>5</v>
      </c>
      <c r="CM116" s="84">
        <v>20</v>
      </c>
      <c r="CN116" s="81">
        <v>23</v>
      </c>
      <c r="CO116" s="80">
        <v>4</v>
      </c>
      <c r="CP116" s="80">
        <v>19</v>
      </c>
      <c r="CQ116" s="81">
        <v>14</v>
      </c>
      <c r="CR116" s="80">
        <v>5</v>
      </c>
      <c r="CS116" s="80">
        <v>9</v>
      </c>
      <c r="CT116" s="81">
        <v>8</v>
      </c>
      <c r="CU116" s="80">
        <v>4</v>
      </c>
      <c r="CV116" s="80">
        <v>4</v>
      </c>
      <c r="CW116" s="81">
        <v>16</v>
      </c>
      <c r="CX116" s="80">
        <v>7</v>
      </c>
      <c r="CY116" s="80">
        <v>9</v>
      </c>
    </row>
    <row r="117" spans="1:103" ht="18.75" customHeight="1" x14ac:dyDescent="0.15">
      <c r="A117" s="87" t="s">
        <v>62</v>
      </c>
      <c r="B117" s="83">
        <v>498</v>
      </c>
      <c r="C117" s="83">
        <v>111</v>
      </c>
      <c r="D117" s="83">
        <v>387</v>
      </c>
      <c r="E117" s="81">
        <v>232</v>
      </c>
      <c r="F117" s="81">
        <v>61</v>
      </c>
      <c r="G117" s="81">
        <v>171</v>
      </c>
      <c r="H117" s="83">
        <v>7</v>
      </c>
      <c r="I117" s="84">
        <v>0</v>
      </c>
      <c r="J117" s="84">
        <v>7</v>
      </c>
      <c r="K117" s="83">
        <v>15</v>
      </c>
      <c r="L117" s="86">
        <v>3</v>
      </c>
      <c r="M117" s="86">
        <v>12</v>
      </c>
      <c r="N117" s="83">
        <v>10</v>
      </c>
      <c r="O117" s="81">
        <v>4</v>
      </c>
      <c r="P117" s="81">
        <v>6</v>
      </c>
      <c r="Q117" s="83">
        <v>13</v>
      </c>
      <c r="R117" s="82">
        <v>5</v>
      </c>
      <c r="S117" s="82">
        <v>8</v>
      </c>
      <c r="T117" s="83">
        <v>15</v>
      </c>
      <c r="U117" s="82">
        <v>1</v>
      </c>
      <c r="V117" s="80">
        <v>14</v>
      </c>
      <c r="W117" s="83">
        <v>29</v>
      </c>
      <c r="X117" s="84">
        <v>11</v>
      </c>
      <c r="Y117" s="84">
        <v>18</v>
      </c>
      <c r="Z117" s="83">
        <v>16</v>
      </c>
      <c r="AA117" s="84">
        <v>2</v>
      </c>
      <c r="AB117" s="84">
        <v>14</v>
      </c>
      <c r="AC117" s="83">
        <v>6</v>
      </c>
      <c r="AD117" s="81">
        <v>2</v>
      </c>
      <c r="AE117" s="81">
        <v>4</v>
      </c>
      <c r="AF117" s="83">
        <v>24</v>
      </c>
      <c r="AG117" s="80">
        <v>9</v>
      </c>
      <c r="AH117" s="80">
        <v>15</v>
      </c>
      <c r="AI117" s="83">
        <v>20</v>
      </c>
      <c r="AJ117" s="80">
        <v>6</v>
      </c>
      <c r="AK117" s="80">
        <v>14</v>
      </c>
      <c r="AL117" s="83">
        <v>32</v>
      </c>
      <c r="AM117" s="84">
        <v>6</v>
      </c>
      <c r="AN117" s="84">
        <v>26</v>
      </c>
      <c r="AO117" s="83">
        <v>15</v>
      </c>
      <c r="AP117" s="81">
        <v>3</v>
      </c>
      <c r="AQ117" s="81">
        <v>12</v>
      </c>
      <c r="AR117" s="83">
        <v>14</v>
      </c>
      <c r="AS117" s="80">
        <v>4</v>
      </c>
      <c r="AT117" s="80">
        <v>10</v>
      </c>
      <c r="AU117" s="83">
        <v>16</v>
      </c>
      <c r="AV117" s="84">
        <v>5</v>
      </c>
      <c r="AW117" s="84">
        <v>11</v>
      </c>
      <c r="AX117" s="81">
        <v>266</v>
      </c>
      <c r="AY117" s="81">
        <v>50</v>
      </c>
      <c r="AZ117" s="81">
        <v>216</v>
      </c>
      <c r="BA117" s="81">
        <v>13</v>
      </c>
      <c r="BB117" s="84">
        <v>0</v>
      </c>
      <c r="BC117" s="84">
        <v>13</v>
      </c>
      <c r="BD117" s="81">
        <v>15</v>
      </c>
      <c r="BE117" s="80">
        <v>2</v>
      </c>
      <c r="BF117" s="80">
        <v>13</v>
      </c>
      <c r="BG117" s="81">
        <v>15</v>
      </c>
      <c r="BH117" s="81">
        <v>6</v>
      </c>
      <c r="BI117" s="81">
        <v>9</v>
      </c>
      <c r="BJ117" s="81">
        <v>20</v>
      </c>
      <c r="BK117" s="80">
        <v>5</v>
      </c>
      <c r="BL117" s="80">
        <v>15</v>
      </c>
      <c r="BM117" s="81">
        <v>10</v>
      </c>
      <c r="BN117" s="81">
        <v>1</v>
      </c>
      <c r="BO117" s="81">
        <v>9</v>
      </c>
      <c r="BP117" s="81">
        <v>34</v>
      </c>
      <c r="BQ117" s="80">
        <v>6</v>
      </c>
      <c r="BR117" s="80">
        <v>28</v>
      </c>
      <c r="BS117" s="81">
        <v>19</v>
      </c>
      <c r="BT117" s="80">
        <v>4</v>
      </c>
      <c r="BU117" s="80">
        <v>15</v>
      </c>
      <c r="BV117" s="81">
        <v>22</v>
      </c>
      <c r="BW117" s="80">
        <v>4</v>
      </c>
      <c r="BX117" s="80">
        <v>18</v>
      </c>
      <c r="BY117" s="81">
        <v>9</v>
      </c>
      <c r="BZ117" s="85">
        <v>2</v>
      </c>
      <c r="CA117" s="85">
        <v>7</v>
      </c>
      <c r="CB117" s="81">
        <v>17</v>
      </c>
      <c r="CC117" s="80">
        <v>2</v>
      </c>
      <c r="CD117" s="80">
        <v>15</v>
      </c>
      <c r="CE117" s="81">
        <v>12</v>
      </c>
      <c r="CF117" s="80">
        <v>5</v>
      </c>
      <c r="CG117" s="80">
        <v>7</v>
      </c>
      <c r="CH117" s="81">
        <v>10</v>
      </c>
      <c r="CI117" s="80">
        <v>1</v>
      </c>
      <c r="CJ117" s="80">
        <v>9</v>
      </c>
      <c r="CK117" s="81">
        <v>18</v>
      </c>
      <c r="CL117" s="82">
        <v>6</v>
      </c>
      <c r="CM117" s="84">
        <v>12</v>
      </c>
      <c r="CN117" s="81">
        <v>14</v>
      </c>
      <c r="CO117" s="80">
        <v>0</v>
      </c>
      <c r="CP117" s="80">
        <v>14</v>
      </c>
      <c r="CQ117" s="81">
        <v>18</v>
      </c>
      <c r="CR117" s="80">
        <v>1</v>
      </c>
      <c r="CS117" s="80">
        <v>17</v>
      </c>
      <c r="CT117" s="81">
        <v>9</v>
      </c>
      <c r="CU117" s="82">
        <v>1</v>
      </c>
      <c r="CV117" s="80">
        <v>8</v>
      </c>
      <c r="CW117" s="81">
        <v>11</v>
      </c>
      <c r="CX117" s="80">
        <v>4</v>
      </c>
      <c r="CY117" s="80">
        <v>7</v>
      </c>
    </row>
    <row r="118" spans="1:103" ht="18.75" customHeight="1" x14ac:dyDescent="0.15">
      <c r="A118" s="87" t="s">
        <v>61</v>
      </c>
      <c r="B118" s="83">
        <v>405</v>
      </c>
      <c r="C118" s="83">
        <v>89</v>
      </c>
      <c r="D118" s="83">
        <v>316</v>
      </c>
      <c r="E118" s="81">
        <v>179</v>
      </c>
      <c r="F118" s="81">
        <v>42</v>
      </c>
      <c r="G118" s="81">
        <v>137</v>
      </c>
      <c r="H118" s="83">
        <v>13</v>
      </c>
      <c r="I118" s="84">
        <v>0</v>
      </c>
      <c r="J118" s="84">
        <v>13</v>
      </c>
      <c r="K118" s="83">
        <v>13</v>
      </c>
      <c r="L118" s="86">
        <v>5</v>
      </c>
      <c r="M118" s="86">
        <v>8</v>
      </c>
      <c r="N118" s="83">
        <v>11</v>
      </c>
      <c r="O118" s="81">
        <v>2</v>
      </c>
      <c r="P118" s="81">
        <v>9</v>
      </c>
      <c r="Q118" s="83">
        <v>9</v>
      </c>
      <c r="R118" s="82">
        <v>5</v>
      </c>
      <c r="S118" s="82">
        <v>4</v>
      </c>
      <c r="T118" s="83">
        <v>12</v>
      </c>
      <c r="U118" s="82">
        <v>0</v>
      </c>
      <c r="V118" s="80">
        <v>12</v>
      </c>
      <c r="W118" s="83">
        <v>19</v>
      </c>
      <c r="X118" s="84">
        <v>4</v>
      </c>
      <c r="Y118" s="84">
        <v>15</v>
      </c>
      <c r="Z118" s="83">
        <v>3</v>
      </c>
      <c r="AA118" s="84">
        <v>1</v>
      </c>
      <c r="AB118" s="84">
        <v>2</v>
      </c>
      <c r="AC118" s="83">
        <v>6</v>
      </c>
      <c r="AD118" s="81">
        <v>2</v>
      </c>
      <c r="AE118" s="81">
        <v>4</v>
      </c>
      <c r="AF118" s="83">
        <v>19</v>
      </c>
      <c r="AG118" s="80">
        <v>2</v>
      </c>
      <c r="AH118" s="80">
        <v>17</v>
      </c>
      <c r="AI118" s="83">
        <v>18</v>
      </c>
      <c r="AJ118" s="80">
        <v>4</v>
      </c>
      <c r="AK118" s="80">
        <v>14</v>
      </c>
      <c r="AL118" s="83">
        <v>17</v>
      </c>
      <c r="AM118" s="84">
        <v>6</v>
      </c>
      <c r="AN118" s="84">
        <v>11</v>
      </c>
      <c r="AO118" s="83">
        <v>9</v>
      </c>
      <c r="AP118" s="81">
        <v>2</v>
      </c>
      <c r="AQ118" s="81">
        <v>7</v>
      </c>
      <c r="AR118" s="83">
        <v>15</v>
      </c>
      <c r="AS118" s="80">
        <v>5</v>
      </c>
      <c r="AT118" s="80">
        <v>10</v>
      </c>
      <c r="AU118" s="83">
        <v>15</v>
      </c>
      <c r="AV118" s="84">
        <v>4</v>
      </c>
      <c r="AW118" s="84">
        <v>11</v>
      </c>
      <c r="AX118" s="81">
        <v>226</v>
      </c>
      <c r="AY118" s="81">
        <v>47</v>
      </c>
      <c r="AZ118" s="81">
        <v>179</v>
      </c>
      <c r="BA118" s="81">
        <v>13</v>
      </c>
      <c r="BB118" s="84">
        <v>2</v>
      </c>
      <c r="BC118" s="84">
        <v>11</v>
      </c>
      <c r="BD118" s="81">
        <v>5</v>
      </c>
      <c r="BE118" s="80">
        <v>0</v>
      </c>
      <c r="BF118" s="80">
        <v>5</v>
      </c>
      <c r="BG118" s="81">
        <v>14</v>
      </c>
      <c r="BH118" s="81">
        <v>3</v>
      </c>
      <c r="BI118" s="81">
        <v>11</v>
      </c>
      <c r="BJ118" s="81">
        <v>21</v>
      </c>
      <c r="BK118" s="80">
        <v>2</v>
      </c>
      <c r="BL118" s="80">
        <v>19</v>
      </c>
      <c r="BM118" s="81">
        <v>12</v>
      </c>
      <c r="BN118" s="81">
        <v>2</v>
      </c>
      <c r="BO118" s="81">
        <v>10</v>
      </c>
      <c r="BP118" s="81">
        <v>31</v>
      </c>
      <c r="BQ118" s="80">
        <v>4</v>
      </c>
      <c r="BR118" s="80">
        <v>27</v>
      </c>
      <c r="BS118" s="81">
        <v>11</v>
      </c>
      <c r="BT118" s="80">
        <v>3</v>
      </c>
      <c r="BU118" s="80">
        <v>8</v>
      </c>
      <c r="BV118" s="81">
        <v>10</v>
      </c>
      <c r="BW118" s="80">
        <v>2</v>
      </c>
      <c r="BX118" s="80">
        <v>8</v>
      </c>
      <c r="BY118" s="83">
        <v>12</v>
      </c>
      <c r="BZ118" s="85">
        <v>4</v>
      </c>
      <c r="CA118" s="85">
        <v>8</v>
      </c>
      <c r="CB118" s="81">
        <v>18</v>
      </c>
      <c r="CC118" s="80">
        <v>3</v>
      </c>
      <c r="CD118" s="80">
        <v>15</v>
      </c>
      <c r="CE118" s="81">
        <v>13</v>
      </c>
      <c r="CF118" s="80">
        <v>5</v>
      </c>
      <c r="CG118" s="80">
        <v>8</v>
      </c>
      <c r="CH118" s="81">
        <v>6</v>
      </c>
      <c r="CI118" s="80">
        <v>0</v>
      </c>
      <c r="CJ118" s="80">
        <v>6</v>
      </c>
      <c r="CK118" s="81">
        <v>15</v>
      </c>
      <c r="CL118" s="84">
        <v>4</v>
      </c>
      <c r="CM118" s="84">
        <v>11</v>
      </c>
      <c r="CN118" s="81">
        <v>11</v>
      </c>
      <c r="CO118" s="82">
        <v>4</v>
      </c>
      <c r="CP118" s="80">
        <v>7</v>
      </c>
      <c r="CQ118" s="81">
        <v>16</v>
      </c>
      <c r="CR118" s="80">
        <v>4</v>
      </c>
      <c r="CS118" s="80">
        <v>12</v>
      </c>
      <c r="CT118" s="81">
        <v>1</v>
      </c>
      <c r="CU118" s="80">
        <v>1</v>
      </c>
      <c r="CV118" s="80">
        <v>0</v>
      </c>
      <c r="CW118" s="81">
        <v>17</v>
      </c>
      <c r="CX118" s="82">
        <v>4</v>
      </c>
      <c r="CY118" s="80">
        <v>13</v>
      </c>
    </row>
    <row r="119" spans="1:103" ht="18.75" customHeight="1" x14ac:dyDescent="0.15">
      <c r="A119" s="87" t="s">
        <v>60</v>
      </c>
      <c r="B119" s="83">
        <v>275</v>
      </c>
      <c r="C119" s="83">
        <v>62</v>
      </c>
      <c r="D119" s="83">
        <v>213</v>
      </c>
      <c r="E119" s="81">
        <v>127</v>
      </c>
      <c r="F119" s="81">
        <v>36</v>
      </c>
      <c r="G119" s="81">
        <v>91</v>
      </c>
      <c r="H119" s="83">
        <v>6</v>
      </c>
      <c r="I119" s="84">
        <v>3</v>
      </c>
      <c r="J119" s="84">
        <v>3</v>
      </c>
      <c r="K119" s="83">
        <v>13</v>
      </c>
      <c r="L119" s="86">
        <v>4</v>
      </c>
      <c r="M119" s="86">
        <v>9</v>
      </c>
      <c r="N119" s="83">
        <v>5</v>
      </c>
      <c r="O119" s="81">
        <v>0</v>
      </c>
      <c r="P119" s="81">
        <v>5</v>
      </c>
      <c r="Q119" s="83">
        <v>6</v>
      </c>
      <c r="R119" s="82">
        <v>2</v>
      </c>
      <c r="S119" s="82">
        <v>4</v>
      </c>
      <c r="T119" s="83">
        <v>9</v>
      </c>
      <c r="U119" s="80">
        <v>3</v>
      </c>
      <c r="V119" s="80">
        <v>6</v>
      </c>
      <c r="W119" s="83">
        <v>9</v>
      </c>
      <c r="X119" s="84">
        <v>4</v>
      </c>
      <c r="Y119" s="84">
        <v>5</v>
      </c>
      <c r="Z119" s="83">
        <v>7</v>
      </c>
      <c r="AA119" s="84">
        <v>0</v>
      </c>
      <c r="AB119" s="84">
        <v>7</v>
      </c>
      <c r="AC119" s="83">
        <v>2</v>
      </c>
      <c r="AD119" s="81">
        <v>0</v>
      </c>
      <c r="AE119" s="81">
        <v>2</v>
      </c>
      <c r="AF119" s="83">
        <v>11</v>
      </c>
      <c r="AG119" s="80">
        <v>4</v>
      </c>
      <c r="AH119" s="80">
        <v>7</v>
      </c>
      <c r="AI119" s="83">
        <v>6</v>
      </c>
      <c r="AJ119" s="80">
        <v>0</v>
      </c>
      <c r="AK119" s="80">
        <v>6</v>
      </c>
      <c r="AL119" s="83">
        <v>21</v>
      </c>
      <c r="AM119" s="84">
        <v>9</v>
      </c>
      <c r="AN119" s="84">
        <v>12</v>
      </c>
      <c r="AO119" s="83">
        <v>7</v>
      </c>
      <c r="AP119" s="81">
        <v>2</v>
      </c>
      <c r="AQ119" s="81">
        <v>5</v>
      </c>
      <c r="AR119" s="83">
        <v>15</v>
      </c>
      <c r="AS119" s="80">
        <v>3</v>
      </c>
      <c r="AT119" s="80">
        <v>12</v>
      </c>
      <c r="AU119" s="83">
        <v>10</v>
      </c>
      <c r="AV119" s="80">
        <v>2</v>
      </c>
      <c r="AW119" s="80">
        <v>8</v>
      </c>
      <c r="AX119" s="81">
        <v>148</v>
      </c>
      <c r="AY119" s="81">
        <v>26</v>
      </c>
      <c r="AZ119" s="81">
        <v>122</v>
      </c>
      <c r="BA119" s="81">
        <v>13</v>
      </c>
      <c r="BB119" s="84">
        <v>4</v>
      </c>
      <c r="BC119" s="84">
        <v>9</v>
      </c>
      <c r="BD119" s="81">
        <v>5</v>
      </c>
      <c r="BE119" s="80">
        <v>1</v>
      </c>
      <c r="BF119" s="80">
        <v>4</v>
      </c>
      <c r="BG119" s="81">
        <v>11</v>
      </c>
      <c r="BH119" s="81">
        <v>1</v>
      </c>
      <c r="BI119" s="81">
        <v>10</v>
      </c>
      <c r="BJ119" s="81">
        <v>10</v>
      </c>
      <c r="BK119" s="80">
        <v>1</v>
      </c>
      <c r="BL119" s="80">
        <v>9</v>
      </c>
      <c r="BM119" s="81">
        <v>11</v>
      </c>
      <c r="BN119" s="81">
        <v>1</v>
      </c>
      <c r="BO119" s="81">
        <v>10</v>
      </c>
      <c r="BP119" s="81">
        <v>18</v>
      </c>
      <c r="BQ119" s="80">
        <v>6</v>
      </c>
      <c r="BR119" s="80">
        <v>12</v>
      </c>
      <c r="BS119" s="81">
        <v>4</v>
      </c>
      <c r="BT119" s="80">
        <v>0</v>
      </c>
      <c r="BU119" s="80">
        <v>4</v>
      </c>
      <c r="BV119" s="81">
        <v>8</v>
      </c>
      <c r="BW119" s="80">
        <v>1</v>
      </c>
      <c r="BX119" s="80">
        <v>7</v>
      </c>
      <c r="BY119" s="81">
        <v>4</v>
      </c>
      <c r="BZ119" s="85">
        <v>2</v>
      </c>
      <c r="CA119" s="85">
        <v>2</v>
      </c>
      <c r="CB119" s="81">
        <v>13</v>
      </c>
      <c r="CC119" s="80">
        <v>2</v>
      </c>
      <c r="CD119" s="80">
        <v>11</v>
      </c>
      <c r="CE119" s="81">
        <v>4</v>
      </c>
      <c r="CF119" s="80">
        <v>1</v>
      </c>
      <c r="CG119" s="80">
        <v>3</v>
      </c>
      <c r="CH119" s="81">
        <v>4</v>
      </c>
      <c r="CI119" s="80">
        <v>1</v>
      </c>
      <c r="CJ119" s="80">
        <v>3</v>
      </c>
      <c r="CK119" s="81">
        <v>8</v>
      </c>
      <c r="CL119" s="84">
        <v>0</v>
      </c>
      <c r="CM119" s="84">
        <v>8</v>
      </c>
      <c r="CN119" s="81">
        <v>12</v>
      </c>
      <c r="CO119" s="80">
        <v>1</v>
      </c>
      <c r="CP119" s="80">
        <v>11</v>
      </c>
      <c r="CQ119" s="81">
        <v>10</v>
      </c>
      <c r="CR119" s="80">
        <v>3</v>
      </c>
      <c r="CS119" s="80">
        <v>7</v>
      </c>
      <c r="CT119" s="81">
        <v>4</v>
      </c>
      <c r="CU119" s="80">
        <v>0</v>
      </c>
      <c r="CV119" s="80">
        <v>4</v>
      </c>
      <c r="CW119" s="81">
        <v>9</v>
      </c>
      <c r="CX119" s="82">
        <v>1</v>
      </c>
      <c r="CY119" s="80">
        <v>8</v>
      </c>
    </row>
    <row r="120" spans="1:103" ht="18.75" customHeight="1" x14ac:dyDescent="0.15">
      <c r="A120" s="57" t="s">
        <v>181</v>
      </c>
      <c r="B120" s="78">
        <v>600</v>
      </c>
      <c r="C120" s="78">
        <v>116</v>
      </c>
      <c r="D120" s="78">
        <v>484</v>
      </c>
      <c r="E120" s="78">
        <v>261</v>
      </c>
      <c r="F120" s="78">
        <v>49</v>
      </c>
      <c r="G120" s="78">
        <v>212</v>
      </c>
      <c r="H120" s="78">
        <v>10</v>
      </c>
      <c r="I120" s="78">
        <v>1</v>
      </c>
      <c r="J120" s="78">
        <v>9</v>
      </c>
      <c r="K120" s="78">
        <v>26</v>
      </c>
      <c r="L120" s="78">
        <v>5</v>
      </c>
      <c r="M120" s="78">
        <v>21</v>
      </c>
      <c r="N120" s="78">
        <v>13</v>
      </c>
      <c r="O120" s="78">
        <v>3</v>
      </c>
      <c r="P120" s="78">
        <v>10</v>
      </c>
      <c r="Q120" s="78">
        <v>16</v>
      </c>
      <c r="R120" s="78">
        <v>9</v>
      </c>
      <c r="S120" s="78">
        <v>7</v>
      </c>
      <c r="T120" s="78">
        <v>16</v>
      </c>
      <c r="U120" s="78">
        <v>1</v>
      </c>
      <c r="V120" s="78">
        <v>15</v>
      </c>
      <c r="W120" s="78">
        <v>23</v>
      </c>
      <c r="X120" s="78">
        <v>6</v>
      </c>
      <c r="Y120" s="78">
        <v>17</v>
      </c>
      <c r="Z120" s="78">
        <v>19</v>
      </c>
      <c r="AA120" s="78">
        <v>4</v>
      </c>
      <c r="AB120" s="78">
        <v>15</v>
      </c>
      <c r="AC120" s="78">
        <v>5</v>
      </c>
      <c r="AD120" s="78">
        <v>1</v>
      </c>
      <c r="AE120" s="78">
        <v>4</v>
      </c>
      <c r="AF120" s="78">
        <v>22</v>
      </c>
      <c r="AG120" s="78">
        <v>2</v>
      </c>
      <c r="AH120" s="78">
        <v>20</v>
      </c>
      <c r="AI120" s="78">
        <v>29</v>
      </c>
      <c r="AJ120" s="78">
        <v>2</v>
      </c>
      <c r="AK120" s="78">
        <v>27</v>
      </c>
      <c r="AL120" s="78">
        <v>40</v>
      </c>
      <c r="AM120" s="78">
        <v>8</v>
      </c>
      <c r="AN120" s="78">
        <v>32</v>
      </c>
      <c r="AO120" s="78">
        <v>8</v>
      </c>
      <c r="AP120" s="78">
        <v>0</v>
      </c>
      <c r="AQ120" s="78">
        <v>8</v>
      </c>
      <c r="AR120" s="78">
        <v>18</v>
      </c>
      <c r="AS120" s="78">
        <v>4</v>
      </c>
      <c r="AT120" s="78">
        <v>14</v>
      </c>
      <c r="AU120" s="78">
        <v>16</v>
      </c>
      <c r="AV120" s="78">
        <v>3</v>
      </c>
      <c r="AW120" s="78">
        <v>13</v>
      </c>
      <c r="AX120" s="78">
        <v>339</v>
      </c>
      <c r="AY120" s="78">
        <v>67</v>
      </c>
      <c r="AZ120" s="78">
        <v>272</v>
      </c>
      <c r="BA120" s="78">
        <v>31</v>
      </c>
      <c r="BB120" s="78">
        <v>9</v>
      </c>
      <c r="BC120" s="78">
        <v>22</v>
      </c>
      <c r="BD120" s="78">
        <v>14</v>
      </c>
      <c r="BE120" s="78">
        <v>1</v>
      </c>
      <c r="BF120" s="78">
        <v>13</v>
      </c>
      <c r="BG120" s="78">
        <v>18</v>
      </c>
      <c r="BH120" s="78">
        <v>6</v>
      </c>
      <c r="BI120" s="78">
        <v>12</v>
      </c>
      <c r="BJ120" s="78">
        <v>25</v>
      </c>
      <c r="BK120" s="78">
        <v>5</v>
      </c>
      <c r="BL120" s="78">
        <v>20</v>
      </c>
      <c r="BM120" s="78">
        <v>20</v>
      </c>
      <c r="BN120" s="78">
        <v>1</v>
      </c>
      <c r="BO120" s="78">
        <v>19</v>
      </c>
      <c r="BP120" s="78">
        <v>39</v>
      </c>
      <c r="BQ120" s="78">
        <v>11</v>
      </c>
      <c r="BR120" s="78">
        <v>28</v>
      </c>
      <c r="BS120" s="78">
        <v>15</v>
      </c>
      <c r="BT120" s="78">
        <v>3</v>
      </c>
      <c r="BU120" s="78">
        <v>12</v>
      </c>
      <c r="BV120" s="78">
        <v>21</v>
      </c>
      <c r="BW120" s="78">
        <v>5</v>
      </c>
      <c r="BX120" s="78">
        <v>16</v>
      </c>
      <c r="BY120" s="78">
        <v>6</v>
      </c>
      <c r="BZ120" s="78">
        <v>2</v>
      </c>
      <c r="CA120" s="78">
        <v>4</v>
      </c>
      <c r="CB120" s="78">
        <v>26</v>
      </c>
      <c r="CC120" s="78">
        <v>3</v>
      </c>
      <c r="CD120" s="78">
        <v>23</v>
      </c>
      <c r="CE120" s="78">
        <v>12</v>
      </c>
      <c r="CF120" s="78">
        <v>3</v>
      </c>
      <c r="CG120" s="78">
        <v>9</v>
      </c>
      <c r="CH120" s="78">
        <v>10</v>
      </c>
      <c r="CI120" s="78">
        <v>4</v>
      </c>
      <c r="CJ120" s="78">
        <v>6</v>
      </c>
      <c r="CK120" s="78">
        <v>19</v>
      </c>
      <c r="CL120" s="78">
        <v>4</v>
      </c>
      <c r="CM120" s="78">
        <v>15</v>
      </c>
      <c r="CN120" s="78">
        <v>19</v>
      </c>
      <c r="CO120" s="78">
        <v>3</v>
      </c>
      <c r="CP120" s="78">
        <v>16</v>
      </c>
      <c r="CQ120" s="78">
        <v>28</v>
      </c>
      <c r="CR120" s="78">
        <v>3</v>
      </c>
      <c r="CS120" s="78">
        <v>25</v>
      </c>
      <c r="CT120" s="78">
        <v>17</v>
      </c>
      <c r="CU120" s="78">
        <v>2</v>
      </c>
      <c r="CV120" s="78">
        <v>15</v>
      </c>
      <c r="CW120" s="78">
        <v>19</v>
      </c>
      <c r="CX120" s="78">
        <v>2</v>
      </c>
      <c r="CY120" s="78">
        <v>17</v>
      </c>
    </row>
    <row r="121" spans="1:103" ht="18.75" customHeight="1" x14ac:dyDescent="0.15">
      <c r="A121" s="87" t="s">
        <v>58</v>
      </c>
      <c r="B121" s="83">
        <v>214</v>
      </c>
      <c r="C121" s="83">
        <v>49</v>
      </c>
      <c r="D121" s="83">
        <v>165</v>
      </c>
      <c r="E121" s="81">
        <v>86</v>
      </c>
      <c r="F121" s="81">
        <v>22</v>
      </c>
      <c r="G121" s="81">
        <v>64</v>
      </c>
      <c r="H121" s="83">
        <v>4</v>
      </c>
      <c r="I121" s="86">
        <v>0</v>
      </c>
      <c r="J121" s="86">
        <v>4</v>
      </c>
      <c r="K121" s="83">
        <v>8</v>
      </c>
      <c r="L121" s="86">
        <v>2</v>
      </c>
      <c r="M121" s="86">
        <v>6</v>
      </c>
      <c r="N121" s="83">
        <v>3</v>
      </c>
      <c r="O121" s="81">
        <v>1</v>
      </c>
      <c r="P121" s="81">
        <v>2</v>
      </c>
      <c r="Q121" s="83">
        <v>4</v>
      </c>
      <c r="R121" s="82">
        <v>4</v>
      </c>
      <c r="S121" s="82">
        <v>0</v>
      </c>
      <c r="T121" s="83">
        <v>5</v>
      </c>
      <c r="U121" s="82">
        <v>0</v>
      </c>
      <c r="V121" s="80">
        <v>5</v>
      </c>
      <c r="W121" s="83">
        <v>9</v>
      </c>
      <c r="X121" s="83">
        <v>4</v>
      </c>
      <c r="Y121" s="84">
        <v>5</v>
      </c>
      <c r="Z121" s="83">
        <v>4</v>
      </c>
      <c r="AA121" s="80">
        <v>1</v>
      </c>
      <c r="AB121" s="80">
        <v>3</v>
      </c>
      <c r="AC121" s="83">
        <v>2</v>
      </c>
      <c r="AD121" s="81">
        <v>1</v>
      </c>
      <c r="AE121" s="81">
        <v>1</v>
      </c>
      <c r="AF121" s="83">
        <v>8</v>
      </c>
      <c r="AG121" s="80">
        <v>2</v>
      </c>
      <c r="AH121" s="80">
        <v>6</v>
      </c>
      <c r="AI121" s="83">
        <v>12</v>
      </c>
      <c r="AJ121" s="80">
        <v>1</v>
      </c>
      <c r="AK121" s="80">
        <v>11</v>
      </c>
      <c r="AL121" s="83">
        <v>13</v>
      </c>
      <c r="AM121" s="84">
        <v>2</v>
      </c>
      <c r="AN121" s="84">
        <v>11</v>
      </c>
      <c r="AO121" s="83">
        <v>2</v>
      </c>
      <c r="AP121" s="80">
        <v>0</v>
      </c>
      <c r="AQ121" s="82">
        <v>2</v>
      </c>
      <c r="AR121" s="83">
        <v>3</v>
      </c>
      <c r="AS121" s="80">
        <v>1</v>
      </c>
      <c r="AT121" s="80">
        <v>2</v>
      </c>
      <c r="AU121" s="83">
        <v>9</v>
      </c>
      <c r="AV121" s="84">
        <v>3</v>
      </c>
      <c r="AW121" s="84">
        <v>6</v>
      </c>
      <c r="AX121" s="81">
        <v>128</v>
      </c>
      <c r="AY121" s="81">
        <v>27</v>
      </c>
      <c r="AZ121" s="81">
        <v>101</v>
      </c>
      <c r="BA121" s="81">
        <v>12</v>
      </c>
      <c r="BB121" s="84">
        <v>4</v>
      </c>
      <c r="BC121" s="84">
        <v>8</v>
      </c>
      <c r="BD121" s="81">
        <v>4</v>
      </c>
      <c r="BE121" s="80">
        <v>0</v>
      </c>
      <c r="BF121" s="80">
        <v>4</v>
      </c>
      <c r="BG121" s="81">
        <v>8</v>
      </c>
      <c r="BH121" s="81">
        <v>2</v>
      </c>
      <c r="BI121" s="81">
        <v>6</v>
      </c>
      <c r="BJ121" s="81">
        <v>12</v>
      </c>
      <c r="BK121" s="80">
        <v>3</v>
      </c>
      <c r="BL121" s="80">
        <v>9</v>
      </c>
      <c r="BM121" s="81">
        <v>7</v>
      </c>
      <c r="BN121" s="80">
        <v>0</v>
      </c>
      <c r="BO121" s="80">
        <v>7</v>
      </c>
      <c r="BP121" s="81">
        <v>15</v>
      </c>
      <c r="BQ121" s="80">
        <v>6</v>
      </c>
      <c r="BR121" s="80">
        <v>9</v>
      </c>
      <c r="BS121" s="81">
        <v>7</v>
      </c>
      <c r="BT121" s="80">
        <v>1</v>
      </c>
      <c r="BU121" s="80">
        <v>6</v>
      </c>
      <c r="BV121" s="81">
        <v>5</v>
      </c>
      <c r="BW121" s="80">
        <v>1</v>
      </c>
      <c r="BX121" s="80">
        <v>4</v>
      </c>
      <c r="BY121" s="81">
        <v>3</v>
      </c>
      <c r="BZ121" s="85">
        <v>0</v>
      </c>
      <c r="CA121" s="85">
        <v>3</v>
      </c>
      <c r="CB121" s="81">
        <v>7</v>
      </c>
      <c r="CC121" s="80">
        <v>0</v>
      </c>
      <c r="CD121" s="80">
        <v>7</v>
      </c>
      <c r="CE121" s="81">
        <v>5</v>
      </c>
      <c r="CF121" s="80">
        <v>2</v>
      </c>
      <c r="CG121" s="80">
        <v>3</v>
      </c>
      <c r="CH121" s="81">
        <v>4</v>
      </c>
      <c r="CI121" s="80">
        <v>2</v>
      </c>
      <c r="CJ121" s="80">
        <v>2</v>
      </c>
      <c r="CK121" s="81">
        <v>7</v>
      </c>
      <c r="CL121" s="84">
        <v>0</v>
      </c>
      <c r="CM121" s="84">
        <v>7</v>
      </c>
      <c r="CN121" s="81">
        <v>8</v>
      </c>
      <c r="CO121" s="80">
        <v>2</v>
      </c>
      <c r="CP121" s="80">
        <v>6</v>
      </c>
      <c r="CQ121" s="81">
        <v>9</v>
      </c>
      <c r="CR121" s="82">
        <v>2</v>
      </c>
      <c r="CS121" s="80">
        <v>7</v>
      </c>
      <c r="CT121" s="81">
        <v>10</v>
      </c>
      <c r="CU121" s="82">
        <v>1</v>
      </c>
      <c r="CV121" s="80">
        <v>9</v>
      </c>
      <c r="CW121" s="81">
        <v>5</v>
      </c>
      <c r="CX121" s="82">
        <v>1</v>
      </c>
      <c r="CY121" s="80">
        <v>4</v>
      </c>
    </row>
    <row r="122" spans="1:103" ht="18.75" customHeight="1" x14ac:dyDescent="0.15">
      <c r="A122" s="87" t="s">
        <v>57</v>
      </c>
      <c r="B122" s="83">
        <v>160</v>
      </c>
      <c r="C122" s="83">
        <v>32</v>
      </c>
      <c r="D122" s="83">
        <v>128</v>
      </c>
      <c r="E122" s="81">
        <v>72</v>
      </c>
      <c r="F122" s="81">
        <v>17</v>
      </c>
      <c r="G122" s="81">
        <v>55</v>
      </c>
      <c r="H122" s="83">
        <v>4</v>
      </c>
      <c r="I122" s="86">
        <v>1</v>
      </c>
      <c r="J122" s="86">
        <v>3</v>
      </c>
      <c r="K122" s="83">
        <v>7</v>
      </c>
      <c r="L122" s="86">
        <v>2</v>
      </c>
      <c r="M122" s="86">
        <v>5</v>
      </c>
      <c r="N122" s="83">
        <v>5</v>
      </c>
      <c r="O122" s="81">
        <v>1</v>
      </c>
      <c r="P122" s="81">
        <v>4</v>
      </c>
      <c r="Q122" s="83">
        <v>7</v>
      </c>
      <c r="R122" s="82">
        <v>3</v>
      </c>
      <c r="S122" s="82">
        <v>4</v>
      </c>
      <c r="T122" s="83">
        <v>3</v>
      </c>
      <c r="U122" s="80">
        <v>1</v>
      </c>
      <c r="V122" s="82">
        <v>2</v>
      </c>
      <c r="W122" s="83">
        <v>3</v>
      </c>
      <c r="X122" s="84">
        <v>1</v>
      </c>
      <c r="Y122" s="84">
        <v>2</v>
      </c>
      <c r="Z122" s="83">
        <v>6</v>
      </c>
      <c r="AA122" s="84">
        <v>1</v>
      </c>
      <c r="AB122" s="84">
        <v>5</v>
      </c>
      <c r="AC122" s="83">
        <v>1</v>
      </c>
      <c r="AD122" s="81">
        <v>0</v>
      </c>
      <c r="AE122" s="81">
        <v>1</v>
      </c>
      <c r="AF122" s="83">
        <v>5</v>
      </c>
      <c r="AG122" s="80">
        <v>0</v>
      </c>
      <c r="AH122" s="80">
        <v>5</v>
      </c>
      <c r="AI122" s="83">
        <v>7</v>
      </c>
      <c r="AJ122" s="80">
        <v>1</v>
      </c>
      <c r="AK122" s="80">
        <v>6</v>
      </c>
      <c r="AL122" s="83">
        <v>11</v>
      </c>
      <c r="AM122" s="84">
        <v>5</v>
      </c>
      <c r="AN122" s="84">
        <v>6</v>
      </c>
      <c r="AO122" s="83">
        <v>2</v>
      </c>
      <c r="AP122" s="82">
        <v>0</v>
      </c>
      <c r="AQ122" s="82">
        <v>2</v>
      </c>
      <c r="AR122" s="83">
        <v>8</v>
      </c>
      <c r="AS122" s="80">
        <v>1</v>
      </c>
      <c r="AT122" s="80">
        <v>7</v>
      </c>
      <c r="AU122" s="83">
        <v>3</v>
      </c>
      <c r="AV122" s="84">
        <v>0</v>
      </c>
      <c r="AW122" s="84">
        <v>3</v>
      </c>
      <c r="AX122" s="81">
        <v>88</v>
      </c>
      <c r="AY122" s="81">
        <v>15</v>
      </c>
      <c r="AZ122" s="81">
        <v>73</v>
      </c>
      <c r="BA122" s="81">
        <v>5</v>
      </c>
      <c r="BB122" s="84">
        <v>1</v>
      </c>
      <c r="BC122" s="84">
        <v>4</v>
      </c>
      <c r="BD122" s="81">
        <v>4</v>
      </c>
      <c r="BE122" s="80">
        <v>0</v>
      </c>
      <c r="BF122" s="80">
        <v>4</v>
      </c>
      <c r="BG122" s="81">
        <v>4</v>
      </c>
      <c r="BH122" s="81">
        <v>1</v>
      </c>
      <c r="BI122" s="81">
        <v>3</v>
      </c>
      <c r="BJ122" s="81">
        <v>9</v>
      </c>
      <c r="BK122" s="80">
        <v>2</v>
      </c>
      <c r="BL122" s="80">
        <v>7</v>
      </c>
      <c r="BM122" s="83">
        <v>4</v>
      </c>
      <c r="BN122" s="80">
        <v>0</v>
      </c>
      <c r="BO122" s="80">
        <v>4</v>
      </c>
      <c r="BP122" s="81">
        <v>9</v>
      </c>
      <c r="BQ122" s="80">
        <v>2</v>
      </c>
      <c r="BR122" s="80">
        <v>7</v>
      </c>
      <c r="BS122" s="81">
        <v>3</v>
      </c>
      <c r="BT122" s="80">
        <v>1</v>
      </c>
      <c r="BU122" s="80">
        <v>2</v>
      </c>
      <c r="BV122" s="81">
        <v>9</v>
      </c>
      <c r="BW122" s="80">
        <v>3</v>
      </c>
      <c r="BX122" s="80">
        <v>6</v>
      </c>
      <c r="BY122" s="81">
        <v>0</v>
      </c>
      <c r="BZ122" s="85">
        <v>0</v>
      </c>
      <c r="CA122" s="85">
        <v>0</v>
      </c>
      <c r="CB122" s="83">
        <v>9</v>
      </c>
      <c r="CC122" s="80">
        <v>1</v>
      </c>
      <c r="CD122" s="80">
        <v>8</v>
      </c>
      <c r="CE122" s="81">
        <v>3</v>
      </c>
      <c r="CF122" s="80">
        <v>1</v>
      </c>
      <c r="CG122" s="80">
        <v>2</v>
      </c>
      <c r="CH122" s="81">
        <v>3</v>
      </c>
      <c r="CI122" s="80">
        <v>0</v>
      </c>
      <c r="CJ122" s="80">
        <v>3</v>
      </c>
      <c r="CK122" s="81">
        <v>3</v>
      </c>
      <c r="CL122" s="82">
        <v>2</v>
      </c>
      <c r="CM122" s="84">
        <v>1</v>
      </c>
      <c r="CN122" s="81">
        <v>6</v>
      </c>
      <c r="CO122" s="80">
        <v>0</v>
      </c>
      <c r="CP122" s="80">
        <v>6</v>
      </c>
      <c r="CQ122" s="81">
        <v>7</v>
      </c>
      <c r="CR122" s="82">
        <v>0</v>
      </c>
      <c r="CS122" s="80">
        <v>7</v>
      </c>
      <c r="CT122" s="81">
        <v>2</v>
      </c>
      <c r="CU122" s="82">
        <v>0</v>
      </c>
      <c r="CV122" s="80">
        <v>2</v>
      </c>
      <c r="CW122" s="81">
        <v>8</v>
      </c>
      <c r="CX122" s="82">
        <v>1</v>
      </c>
      <c r="CY122" s="80">
        <v>7</v>
      </c>
    </row>
    <row r="123" spans="1:103" ht="18.75" customHeight="1" x14ac:dyDescent="0.15">
      <c r="A123" s="87" t="s">
        <v>56</v>
      </c>
      <c r="B123" s="83">
        <v>108</v>
      </c>
      <c r="C123" s="83">
        <v>15</v>
      </c>
      <c r="D123" s="83">
        <v>93</v>
      </c>
      <c r="E123" s="81">
        <v>48</v>
      </c>
      <c r="F123" s="81">
        <v>3</v>
      </c>
      <c r="G123" s="81">
        <v>45</v>
      </c>
      <c r="H123" s="83">
        <v>2</v>
      </c>
      <c r="I123" s="86">
        <v>0</v>
      </c>
      <c r="J123" s="86">
        <v>2</v>
      </c>
      <c r="K123" s="83">
        <v>7</v>
      </c>
      <c r="L123" s="86">
        <v>1</v>
      </c>
      <c r="M123" s="86">
        <v>6</v>
      </c>
      <c r="N123" s="83">
        <v>1</v>
      </c>
      <c r="O123" s="81">
        <v>0</v>
      </c>
      <c r="P123" s="81">
        <v>1</v>
      </c>
      <c r="Q123" s="83">
        <v>4</v>
      </c>
      <c r="R123" s="82">
        <v>1</v>
      </c>
      <c r="S123" s="82">
        <v>3</v>
      </c>
      <c r="T123" s="83">
        <v>3</v>
      </c>
      <c r="U123" s="82">
        <v>0</v>
      </c>
      <c r="V123" s="80">
        <v>3</v>
      </c>
      <c r="W123" s="83">
        <v>3</v>
      </c>
      <c r="X123" s="84">
        <v>0</v>
      </c>
      <c r="Y123" s="84">
        <v>3</v>
      </c>
      <c r="Z123" s="83">
        <v>3</v>
      </c>
      <c r="AA123" s="84">
        <v>0</v>
      </c>
      <c r="AB123" s="84">
        <v>3</v>
      </c>
      <c r="AC123" s="83">
        <v>1</v>
      </c>
      <c r="AD123" s="80">
        <v>0</v>
      </c>
      <c r="AE123" s="80">
        <v>1</v>
      </c>
      <c r="AF123" s="83">
        <v>5</v>
      </c>
      <c r="AG123" s="80">
        <v>0</v>
      </c>
      <c r="AH123" s="80">
        <v>5</v>
      </c>
      <c r="AI123" s="83">
        <v>3</v>
      </c>
      <c r="AJ123" s="80">
        <v>0</v>
      </c>
      <c r="AK123" s="80">
        <v>3</v>
      </c>
      <c r="AL123" s="83">
        <v>7</v>
      </c>
      <c r="AM123" s="84">
        <v>0</v>
      </c>
      <c r="AN123" s="84">
        <v>7</v>
      </c>
      <c r="AO123" s="83">
        <v>2</v>
      </c>
      <c r="AP123" s="82">
        <v>0</v>
      </c>
      <c r="AQ123" s="80">
        <v>2</v>
      </c>
      <c r="AR123" s="83">
        <v>4</v>
      </c>
      <c r="AS123" s="80">
        <v>1</v>
      </c>
      <c r="AT123" s="80">
        <v>3</v>
      </c>
      <c r="AU123" s="83">
        <v>3</v>
      </c>
      <c r="AV123" s="84">
        <v>0</v>
      </c>
      <c r="AW123" s="84">
        <v>3</v>
      </c>
      <c r="AX123" s="81">
        <v>60</v>
      </c>
      <c r="AY123" s="81">
        <v>12</v>
      </c>
      <c r="AZ123" s="81">
        <v>48</v>
      </c>
      <c r="BA123" s="81">
        <v>8</v>
      </c>
      <c r="BB123" s="84">
        <v>1</v>
      </c>
      <c r="BC123" s="84">
        <v>7</v>
      </c>
      <c r="BD123" s="81">
        <v>2</v>
      </c>
      <c r="BE123" s="80">
        <v>1</v>
      </c>
      <c r="BF123" s="80">
        <v>1</v>
      </c>
      <c r="BG123" s="81">
        <v>5</v>
      </c>
      <c r="BH123" s="81">
        <v>2</v>
      </c>
      <c r="BI123" s="81">
        <v>3</v>
      </c>
      <c r="BJ123" s="83">
        <v>3</v>
      </c>
      <c r="BK123" s="80">
        <v>0</v>
      </c>
      <c r="BL123" s="80">
        <v>3</v>
      </c>
      <c r="BM123" s="83">
        <v>4</v>
      </c>
      <c r="BN123" s="80">
        <v>0</v>
      </c>
      <c r="BO123" s="80">
        <v>4</v>
      </c>
      <c r="BP123" s="81">
        <v>9</v>
      </c>
      <c r="BQ123" s="80">
        <v>2</v>
      </c>
      <c r="BR123" s="80">
        <v>7</v>
      </c>
      <c r="BS123" s="81">
        <v>2</v>
      </c>
      <c r="BT123" s="80">
        <v>0</v>
      </c>
      <c r="BU123" s="80">
        <v>2</v>
      </c>
      <c r="BV123" s="81">
        <v>2</v>
      </c>
      <c r="BW123" s="80">
        <v>0</v>
      </c>
      <c r="BX123" s="80">
        <v>2</v>
      </c>
      <c r="BY123" s="81">
        <v>3</v>
      </c>
      <c r="BZ123" s="85">
        <v>2</v>
      </c>
      <c r="CA123" s="85">
        <v>1</v>
      </c>
      <c r="CB123" s="81">
        <v>5</v>
      </c>
      <c r="CC123" s="80">
        <v>0</v>
      </c>
      <c r="CD123" s="80">
        <v>5</v>
      </c>
      <c r="CE123" s="81">
        <v>1</v>
      </c>
      <c r="CF123" s="80">
        <v>0</v>
      </c>
      <c r="CG123" s="80">
        <v>1</v>
      </c>
      <c r="CH123" s="81">
        <v>1</v>
      </c>
      <c r="CI123" s="80">
        <v>1</v>
      </c>
      <c r="CJ123" s="80">
        <v>0</v>
      </c>
      <c r="CK123" s="81">
        <v>5</v>
      </c>
      <c r="CL123" s="84">
        <v>1</v>
      </c>
      <c r="CM123" s="84">
        <v>4</v>
      </c>
      <c r="CN123" s="81">
        <v>2</v>
      </c>
      <c r="CO123" s="80">
        <v>1</v>
      </c>
      <c r="CP123" s="80">
        <v>1</v>
      </c>
      <c r="CQ123" s="81">
        <v>4</v>
      </c>
      <c r="CR123" s="80">
        <v>1</v>
      </c>
      <c r="CS123" s="80">
        <v>3</v>
      </c>
      <c r="CT123" s="83">
        <v>2</v>
      </c>
      <c r="CU123" s="82">
        <v>0</v>
      </c>
      <c r="CV123" s="82">
        <v>2</v>
      </c>
      <c r="CW123" s="83">
        <v>2</v>
      </c>
      <c r="CX123" s="82">
        <v>0</v>
      </c>
      <c r="CY123" s="82">
        <v>2</v>
      </c>
    </row>
    <row r="124" spans="1:103" ht="18.75" customHeight="1" x14ac:dyDescent="0.15">
      <c r="A124" s="87" t="s">
        <v>55</v>
      </c>
      <c r="B124" s="83">
        <v>84</v>
      </c>
      <c r="C124" s="83">
        <v>10</v>
      </c>
      <c r="D124" s="83">
        <v>74</v>
      </c>
      <c r="E124" s="81">
        <v>36</v>
      </c>
      <c r="F124" s="81">
        <v>2</v>
      </c>
      <c r="G124" s="81">
        <v>34</v>
      </c>
      <c r="H124" s="83">
        <v>0</v>
      </c>
      <c r="I124" s="86">
        <v>0</v>
      </c>
      <c r="J124" s="86">
        <v>0</v>
      </c>
      <c r="K124" s="83">
        <v>1</v>
      </c>
      <c r="L124" s="86">
        <v>0</v>
      </c>
      <c r="M124" s="86">
        <v>1</v>
      </c>
      <c r="N124" s="83">
        <v>4</v>
      </c>
      <c r="O124" s="81">
        <v>1</v>
      </c>
      <c r="P124" s="81">
        <v>3</v>
      </c>
      <c r="Q124" s="83">
        <v>0</v>
      </c>
      <c r="R124" s="82">
        <v>0</v>
      </c>
      <c r="S124" s="82">
        <v>0</v>
      </c>
      <c r="T124" s="83">
        <v>3</v>
      </c>
      <c r="U124" s="82">
        <v>0</v>
      </c>
      <c r="V124" s="80">
        <v>3</v>
      </c>
      <c r="W124" s="83">
        <v>6</v>
      </c>
      <c r="X124" s="84">
        <v>1</v>
      </c>
      <c r="Y124" s="84">
        <v>5</v>
      </c>
      <c r="Z124" s="83">
        <v>3</v>
      </c>
      <c r="AA124" s="80">
        <v>0</v>
      </c>
      <c r="AB124" s="80">
        <v>3</v>
      </c>
      <c r="AC124" s="83">
        <v>1</v>
      </c>
      <c r="AD124" s="80">
        <v>0</v>
      </c>
      <c r="AE124" s="80">
        <v>1</v>
      </c>
      <c r="AF124" s="83">
        <v>4</v>
      </c>
      <c r="AG124" s="80">
        <v>0</v>
      </c>
      <c r="AH124" s="80">
        <v>4</v>
      </c>
      <c r="AI124" s="83">
        <v>4</v>
      </c>
      <c r="AJ124" s="80">
        <v>0</v>
      </c>
      <c r="AK124" s="80">
        <v>4</v>
      </c>
      <c r="AL124" s="83">
        <v>7</v>
      </c>
      <c r="AM124" s="84">
        <v>0</v>
      </c>
      <c r="AN124" s="84">
        <v>7</v>
      </c>
      <c r="AO124" s="83">
        <v>1</v>
      </c>
      <c r="AP124" s="82">
        <v>0</v>
      </c>
      <c r="AQ124" s="82">
        <v>1</v>
      </c>
      <c r="AR124" s="83">
        <v>1</v>
      </c>
      <c r="AS124" s="80">
        <v>0</v>
      </c>
      <c r="AT124" s="80">
        <v>1</v>
      </c>
      <c r="AU124" s="83">
        <v>1</v>
      </c>
      <c r="AV124" s="80">
        <v>0</v>
      </c>
      <c r="AW124" s="80">
        <v>1</v>
      </c>
      <c r="AX124" s="81">
        <v>48</v>
      </c>
      <c r="AY124" s="81">
        <v>8</v>
      </c>
      <c r="AZ124" s="81">
        <v>40</v>
      </c>
      <c r="BA124" s="81">
        <v>3</v>
      </c>
      <c r="BB124" s="84">
        <v>0</v>
      </c>
      <c r="BC124" s="84">
        <v>3</v>
      </c>
      <c r="BD124" s="81">
        <v>3</v>
      </c>
      <c r="BE124" s="80">
        <v>0</v>
      </c>
      <c r="BF124" s="80">
        <v>3</v>
      </c>
      <c r="BG124" s="81">
        <v>0</v>
      </c>
      <c r="BH124" s="81">
        <v>0</v>
      </c>
      <c r="BI124" s="81">
        <v>0</v>
      </c>
      <c r="BJ124" s="81">
        <v>1</v>
      </c>
      <c r="BK124" s="80">
        <v>0</v>
      </c>
      <c r="BL124" s="80">
        <v>1</v>
      </c>
      <c r="BM124" s="83">
        <v>4</v>
      </c>
      <c r="BN124" s="80">
        <v>1</v>
      </c>
      <c r="BO124" s="80">
        <v>3</v>
      </c>
      <c r="BP124" s="83">
        <v>6</v>
      </c>
      <c r="BQ124" s="80">
        <v>1</v>
      </c>
      <c r="BR124" s="80">
        <v>5</v>
      </c>
      <c r="BS124" s="83">
        <v>3</v>
      </c>
      <c r="BT124" s="80">
        <v>1</v>
      </c>
      <c r="BU124" s="80">
        <v>2</v>
      </c>
      <c r="BV124" s="81">
        <v>2</v>
      </c>
      <c r="BW124" s="80">
        <v>1</v>
      </c>
      <c r="BX124" s="80">
        <v>1</v>
      </c>
      <c r="BY124" s="83">
        <v>0</v>
      </c>
      <c r="BZ124" s="85">
        <v>0</v>
      </c>
      <c r="CA124" s="85">
        <v>0</v>
      </c>
      <c r="CB124" s="83">
        <v>4</v>
      </c>
      <c r="CC124" s="80">
        <v>2</v>
      </c>
      <c r="CD124" s="80">
        <v>2</v>
      </c>
      <c r="CE124" s="83">
        <v>2</v>
      </c>
      <c r="CF124" s="80">
        <v>0</v>
      </c>
      <c r="CG124" s="80">
        <v>2</v>
      </c>
      <c r="CH124" s="83">
        <v>1</v>
      </c>
      <c r="CI124" s="80">
        <v>1</v>
      </c>
      <c r="CJ124" s="80">
        <v>0</v>
      </c>
      <c r="CK124" s="81">
        <v>3</v>
      </c>
      <c r="CL124" s="84">
        <v>0</v>
      </c>
      <c r="CM124" s="82">
        <v>3</v>
      </c>
      <c r="CN124" s="81">
        <v>2</v>
      </c>
      <c r="CO124" s="80">
        <v>0</v>
      </c>
      <c r="CP124" s="82">
        <v>2</v>
      </c>
      <c r="CQ124" s="83">
        <v>8</v>
      </c>
      <c r="CR124" s="82">
        <v>0</v>
      </c>
      <c r="CS124" s="82">
        <v>8</v>
      </c>
      <c r="CT124" s="83">
        <v>3</v>
      </c>
      <c r="CU124" s="82">
        <v>1</v>
      </c>
      <c r="CV124" s="82">
        <v>2</v>
      </c>
      <c r="CW124" s="81">
        <v>3</v>
      </c>
      <c r="CX124" s="82">
        <v>0</v>
      </c>
      <c r="CY124" s="80">
        <v>3</v>
      </c>
    </row>
    <row r="125" spans="1:103" ht="18.75" customHeight="1" x14ac:dyDescent="0.15">
      <c r="A125" s="87" t="s">
        <v>54</v>
      </c>
      <c r="B125" s="83">
        <v>34</v>
      </c>
      <c r="C125" s="83">
        <v>10</v>
      </c>
      <c r="D125" s="83">
        <v>24</v>
      </c>
      <c r="E125" s="81">
        <v>19</v>
      </c>
      <c r="F125" s="81">
        <v>5</v>
      </c>
      <c r="G125" s="81">
        <v>14</v>
      </c>
      <c r="H125" s="83">
        <v>0</v>
      </c>
      <c r="I125" s="86">
        <v>0</v>
      </c>
      <c r="J125" s="86">
        <v>0</v>
      </c>
      <c r="K125" s="83">
        <v>3</v>
      </c>
      <c r="L125" s="86">
        <v>0</v>
      </c>
      <c r="M125" s="86">
        <v>3</v>
      </c>
      <c r="N125" s="83">
        <v>0</v>
      </c>
      <c r="O125" s="86">
        <v>0</v>
      </c>
      <c r="P125" s="86">
        <v>0</v>
      </c>
      <c r="Q125" s="83">
        <v>1</v>
      </c>
      <c r="R125" s="82">
        <v>1</v>
      </c>
      <c r="S125" s="82">
        <v>0</v>
      </c>
      <c r="T125" s="83">
        <v>2</v>
      </c>
      <c r="U125" s="82">
        <v>0</v>
      </c>
      <c r="V125" s="80">
        <v>2</v>
      </c>
      <c r="W125" s="83">
        <v>2</v>
      </c>
      <c r="X125" s="82">
        <v>0</v>
      </c>
      <c r="Y125" s="80">
        <v>2</v>
      </c>
      <c r="Z125" s="83">
        <v>3</v>
      </c>
      <c r="AA125" s="80">
        <v>2</v>
      </c>
      <c r="AB125" s="80">
        <v>1</v>
      </c>
      <c r="AC125" s="83">
        <v>0</v>
      </c>
      <c r="AD125" s="80">
        <v>0</v>
      </c>
      <c r="AE125" s="80">
        <v>0</v>
      </c>
      <c r="AF125" s="83">
        <v>0</v>
      </c>
      <c r="AG125" s="80">
        <v>0</v>
      </c>
      <c r="AH125" s="80">
        <v>0</v>
      </c>
      <c r="AI125" s="83">
        <v>3</v>
      </c>
      <c r="AJ125" s="80">
        <v>0</v>
      </c>
      <c r="AK125" s="80">
        <v>3</v>
      </c>
      <c r="AL125" s="83">
        <v>2</v>
      </c>
      <c r="AM125" s="82">
        <v>1</v>
      </c>
      <c r="AN125" s="82">
        <v>1</v>
      </c>
      <c r="AO125" s="83">
        <v>1</v>
      </c>
      <c r="AP125" s="82">
        <v>0</v>
      </c>
      <c r="AQ125" s="82">
        <v>1</v>
      </c>
      <c r="AR125" s="83">
        <v>2</v>
      </c>
      <c r="AS125" s="80">
        <v>1</v>
      </c>
      <c r="AT125" s="80">
        <v>1</v>
      </c>
      <c r="AU125" s="83">
        <v>0</v>
      </c>
      <c r="AV125" s="80">
        <v>0</v>
      </c>
      <c r="AW125" s="80">
        <v>0</v>
      </c>
      <c r="AX125" s="81">
        <v>15</v>
      </c>
      <c r="AY125" s="81">
        <v>5</v>
      </c>
      <c r="AZ125" s="81">
        <v>10</v>
      </c>
      <c r="BA125" s="81">
        <v>3</v>
      </c>
      <c r="BB125" s="84">
        <v>3</v>
      </c>
      <c r="BC125" s="84">
        <v>0</v>
      </c>
      <c r="BD125" s="83">
        <v>1</v>
      </c>
      <c r="BE125" s="80">
        <v>0</v>
      </c>
      <c r="BF125" s="80">
        <v>1</v>
      </c>
      <c r="BG125" s="81">
        <v>1</v>
      </c>
      <c r="BH125" s="81">
        <v>1</v>
      </c>
      <c r="BI125" s="81">
        <v>0</v>
      </c>
      <c r="BJ125" s="81">
        <v>0</v>
      </c>
      <c r="BK125" s="80">
        <v>0</v>
      </c>
      <c r="BL125" s="80">
        <v>0</v>
      </c>
      <c r="BM125" s="81">
        <v>1</v>
      </c>
      <c r="BN125" s="80">
        <v>0</v>
      </c>
      <c r="BO125" s="80">
        <v>1</v>
      </c>
      <c r="BP125" s="81">
        <v>0</v>
      </c>
      <c r="BQ125" s="80">
        <v>0</v>
      </c>
      <c r="BR125" s="80">
        <v>0</v>
      </c>
      <c r="BS125" s="83">
        <v>0</v>
      </c>
      <c r="BT125" s="80">
        <v>0</v>
      </c>
      <c r="BU125" s="80">
        <v>0</v>
      </c>
      <c r="BV125" s="81">
        <v>3</v>
      </c>
      <c r="BW125" s="80">
        <v>0</v>
      </c>
      <c r="BX125" s="80">
        <v>3</v>
      </c>
      <c r="BY125" s="81">
        <v>0</v>
      </c>
      <c r="BZ125" s="85">
        <v>0</v>
      </c>
      <c r="CA125" s="85">
        <v>0</v>
      </c>
      <c r="CB125" s="81">
        <v>1</v>
      </c>
      <c r="CC125" s="80">
        <v>0</v>
      </c>
      <c r="CD125" s="80">
        <v>1</v>
      </c>
      <c r="CE125" s="83">
        <v>1</v>
      </c>
      <c r="CF125" s="80">
        <v>0</v>
      </c>
      <c r="CG125" s="80">
        <v>1</v>
      </c>
      <c r="CH125" s="83">
        <v>1</v>
      </c>
      <c r="CI125" s="80">
        <v>0</v>
      </c>
      <c r="CJ125" s="80">
        <v>1</v>
      </c>
      <c r="CK125" s="81">
        <v>1</v>
      </c>
      <c r="CL125" s="82">
        <v>1</v>
      </c>
      <c r="CM125" s="84">
        <v>0</v>
      </c>
      <c r="CN125" s="81">
        <v>1</v>
      </c>
      <c r="CO125" s="82">
        <v>0</v>
      </c>
      <c r="CP125" s="80">
        <v>1</v>
      </c>
      <c r="CQ125" s="83">
        <v>0</v>
      </c>
      <c r="CR125" s="82">
        <v>0</v>
      </c>
      <c r="CS125" s="82">
        <v>0</v>
      </c>
      <c r="CT125" s="83">
        <v>0</v>
      </c>
      <c r="CU125" s="82">
        <v>0</v>
      </c>
      <c r="CV125" s="82">
        <v>0</v>
      </c>
      <c r="CW125" s="81">
        <v>1</v>
      </c>
      <c r="CX125" s="80">
        <v>0</v>
      </c>
      <c r="CY125" s="80">
        <v>1</v>
      </c>
    </row>
    <row r="126" spans="1:103" ht="18.75" customHeight="1" x14ac:dyDescent="0.15">
      <c r="A126" s="57" t="s">
        <v>180</v>
      </c>
      <c r="B126" s="78">
        <v>71</v>
      </c>
      <c r="C126" s="78">
        <v>8</v>
      </c>
      <c r="D126" s="78">
        <v>63</v>
      </c>
      <c r="E126" s="78">
        <v>36</v>
      </c>
      <c r="F126" s="79">
        <v>1</v>
      </c>
      <c r="G126" s="79">
        <v>35</v>
      </c>
      <c r="H126" s="78">
        <v>2</v>
      </c>
      <c r="I126" s="78">
        <v>0</v>
      </c>
      <c r="J126" s="78">
        <v>2</v>
      </c>
      <c r="K126" s="78">
        <v>10</v>
      </c>
      <c r="L126" s="78">
        <v>1</v>
      </c>
      <c r="M126" s="78">
        <v>9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1</v>
      </c>
      <c r="U126" s="78">
        <v>0</v>
      </c>
      <c r="V126" s="78">
        <v>1</v>
      </c>
      <c r="W126" s="78">
        <v>2</v>
      </c>
      <c r="X126" s="78">
        <v>0</v>
      </c>
      <c r="Y126" s="78">
        <v>2</v>
      </c>
      <c r="Z126" s="78">
        <v>4</v>
      </c>
      <c r="AA126" s="78">
        <v>0</v>
      </c>
      <c r="AB126" s="78">
        <v>4</v>
      </c>
      <c r="AC126" s="78">
        <v>0</v>
      </c>
      <c r="AD126" s="78">
        <v>0</v>
      </c>
      <c r="AE126" s="78">
        <v>0</v>
      </c>
      <c r="AF126" s="78">
        <v>1</v>
      </c>
      <c r="AG126" s="78">
        <v>0</v>
      </c>
      <c r="AH126" s="78">
        <v>1</v>
      </c>
      <c r="AI126" s="78">
        <v>5</v>
      </c>
      <c r="AJ126" s="78">
        <v>0</v>
      </c>
      <c r="AK126" s="78">
        <v>5</v>
      </c>
      <c r="AL126" s="78">
        <v>8</v>
      </c>
      <c r="AM126" s="78">
        <v>0</v>
      </c>
      <c r="AN126" s="78">
        <v>8</v>
      </c>
      <c r="AO126" s="78">
        <v>1</v>
      </c>
      <c r="AP126" s="78">
        <v>0</v>
      </c>
      <c r="AQ126" s="78">
        <v>1</v>
      </c>
      <c r="AR126" s="78">
        <v>2</v>
      </c>
      <c r="AS126" s="78">
        <v>0</v>
      </c>
      <c r="AT126" s="78">
        <v>2</v>
      </c>
      <c r="AU126" s="78">
        <v>0</v>
      </c>
      <c r="AV126" s="78">
        <v>0</v>
      </c>
      <c r="AW126" s="78">
        <v>0</v>
      </c>
      <c r="AX126" s="78">
        <v>35</v>
      </c>
      <c r="AY126" s="79">
        <v>7</v>
      </c>
      <c r="AZ126" s="79">
        <v>28</v>
      </c>
      <c r="BA126" s="78">
        <v>4</v>
      </c>
      <c r="BB126" s="78">
        <v>0</v>
      </c>
      <c r="BC126" s="78">
        <v>4</v>
      </c>
      <c r="BD126" s="78">
        <v>3</v>
      </c>
      <c r="BE126" s="78">
        <v>0</v>
      </c>
      <c r="BF126" s="78">
        <v>3</v>
      </c>
      <c r="BG126" s="78">
        <v>0</v>
      </c>
      <c r="BH126" s="78">
        <v>0</v>
      </c>
      <c r="BI126" s="78">
        <v>0</v>
      </c>
      <c r="BJ126" s="78">
        <v>1</v>
      </c>
      <c r="BK126" s="78">
        <v>0</v>
      </c>
      <c r="BL126" s="78">
        <v>1</v>
      </c>
      <c r="BM126" s="78">
        <v>0</v>
      </c>
      <c r="BN126" s="78">
        <v>0</v>
      </c>
      <c r="BO126" s="78">
        <v>0</v>
      </c>
      <c r="BP126" s="78">
        <v>5</v>
      </c>
      <c r="BQ126" s="78">
        <v>2</v>
      </c>
      <c r="BR126" s="78">
        <v>3</v>
      </c>
      <c r="BS126" s="78">
        <v>1</v>
      </c>
      <c r="BT126" s="78">
        <v>0</v>
      </c>
      <c r="BU126" s="78">
        <v>1</v>
      </c>
      <c r="BV126" s="78">
        <v>1</v>
      </c>
      <c r="BW126" s="78">
        <v>1</v>
      </c>
      <c r="BX126" s="78">
        <v>0</v>
      </c>
      <c r="BY126" s="78">
        <v>2</v>
      </c>
      <c r="BZ126" s="78">
        <v>1</v>
      </c>
      <c r="CA126" s="78">
        <v>1</v>
      </c>
      <c r="CB126" s="78">
        <v>4</v>
      </c>
      <c r="CC126" s="78">
        <v>0</v>
      </c>
      <c r="CD126" s="78">
        <v>4</v>
      </c>
      <c r="CE126" s="78">
        <v>2</v>
      </c>
      <c r="CF126" s="78">
        <v>0</v>
      </c>
      <c r="CG126" s="78">
        <v>2</v>
      </c>
      <c r="CH126" s="78">
        <v>1</v>
      </c>
      <c r="CI126" s="78">
        <v>0</v>
      </c>
      <c r="CJ126" s="78">
        <v>1</v>
      </c>
      <c r="CK126" s="78">
        <v>2</v>
      </c>
      <c r="CL126" s="78">
        <v>1</v>
      </c>
      <c r="CM126" s="78">
        <v>1</v>
      </c>
      <c r="CN126" s="78">
        <v>6</v>
      </c>
      <c r="CO126" s="78">
        <v>2</v>
      </c>
      <c r="CP126" s="78">
        <v>4</v>
      </c>
      <c r="CQ126" s="78">
        <v>0</v>
      </c>
      <c r="CR126" s="78">
        <v>0</v>
      </c>
      <c r="CS126" s="78">
        <v>0</v>
      </c>
      <c r="CT126" s="78">
        <v>2</v>
      </c>
      <c r="CU126" s="78">
        <v>0</v>
      </c>
      <c r="CV126" s="78">
        <v>2</v>
      </c>
      <c r="CW126" s="78">
        <v>1</v>
      </c>
      <c r="CX126" s="78">
        <v>0</v>
      </c>
      <c r="CY126" s="78">
        <v>1</v>
      </c>
    </row>
  </sheetData>
  <mergeCells count="36">
    <mergeCell ref="AR3:AT3"/>
    <mergeCell ref="AU3:AW3"/>
    <mergeCell ref="AX3:AZ3"/>
    <mergeCell ref="BA3:BC3"/>
    <mergeCell ref="A3:A4"/>
    <mergeCell ref="AI3:AK3"/>
    <mergeCell ref="B3:D3"/>
    <mergeCell ref="E3:G3"/>
    <mergeCell ref="H3:J3"/>
    <mergeCell ref="K3:M3"/>
    <mergeCell ref="N3:P3"/>
    <mergeCell ref="Q3:S3"/>
    <mergeCell ref="T3:V3"/>
    <mergeCell ref="W3:Y3"/>
    <mergeCell ref="B1:S1"/>
    <mergeCell ref="CN3:CP3"/>
    <mergeCell ref="CQ3:CS3"/>
    <mergeCell ref="CT3:CV3"/>
    <mergeCell ref="CW3:CY3"/>
    <mergeCell ref="BV3:BX3"/>
    <mergeCell ref="BY3:CA3"/>
    <mergeCell ref="CB3:CD3"/>
    <mergeCell ref="CE3:CG3"/>
    <mergeCell ref="CH3:CJ3"/>
    <mergeCell ref="Z3:AB3"/>
    <mergeCell ref="AC3:AE3"/>
    <mergeCell ref="AF3:AH3"/>
    <mergeCell ref="BS3:BU3"/>
    <mergeCell ref="AL3:AN3"/>
    <mergeCell ref="AO3:AQ3"/>
    <mergeCell ref="CK3:CM3"/>
    <mergeCell ref="BD3:BF3"/>
    <mergeCell ref="BG3:BI3"/>
    <mergeCell ref="BJ3:BL3"/>
    <mergeCell ref="BM3:BO3"/>
    <mergeCell ref="BP3:BR3"/>
  </mergeCells>
  <phoneticPr fontId="5" type="noConversion"/>
  <conditionalFormatting sqref="B5:CY126">
    <cfRule type="expression" dxfId="3" priority="1">
      <formula>B5&lt;&gt;#REF!</formula>
    </cfRule>
  </conditionalFormatting>
  <pageMargins left="0.98425196850393704" right="0.78740157480314965" top="1.5748031496062993" bottom="0.98425196850393704" header="0.19685039370078741" footer="0.19685039370078741"/>
  <pageSetup paperSize="9" scale="10" orientation="portrait" blackAndWhite="1" horizontalDpi="300" verticalDpi="300" r:id="rId1"/>
  <headerFooter alignWithMargins="0">
    <oddFooter xml:space="preserve">&amp;R
</oddFooter>
  </headerFooter>
  <rowBreaks count="2" manualBreakCount="2">
    <brk id="47" max="16383" man="1"/>
    <brk id="8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view="pageBreakPreview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15" sqref="J15"/>
    </sheetView>
  </sheetViews>
  <sheetFormatPr defaultColWidth="13" defaultRowHeight="15.95" customHeight="1" x14ac:dyDescent="0.15"/>
  <cols>
    <col min="1" max="1" width="13.5703125" style="53" customWidth="1"/>
    <col min="2" max="4" width="13" style="97"/>
    <col min="5" max="16384" width="13" style="2"/>
  </cols>
  <sheetData>
    <row r="1" spans="1:6" ht="34.5" customHeight="1" x14ac:dyDescent="0.15">
      <c r="A1" s="181" t="s">
        <v>214</v>
      </c>
      <c r="B1" s="181"/>
      <c r="C1" s="181"/>
      <c r="D1" s="181"/>
    </row>
    <row r="2" spans="1:6" s="96" customFormat="1" ht="19.5" customHeight="1" x14ac:dyDescent="0.15">
      <c r="A2" s="111" t="s">
        <v>13</v>
      </c>
      <c r="B2" s="110"/>
      <c r="C2" s="110"/>
      <c r="D2" s="96" t="s">
        <v>213</v>
      </c>
    </row>
    <row r="3" spans="1:6" s="107" customFormat="1" ht="21.75" customHeight="1" x14ac:dyDescent="0.15">
      <c r="A3" s="185" t="s">
        <v>8</v>
      </c>
      <c r="B3" s="182" t="s">
        <v>48</v>
      </c>
      <c r="C3" s="183"/>
      <c r="D3" s="184"/>
      <c r="E3" s="108"/>
      <c r="F3" s="108"/>
    </row>
    <row r="4" spans="1:6" s="107" customFormat="1" ht="21.75" customHeight="1" x14ac:dyDescent="0.15">
      <c r="A4" s="186"/>
      <c r="B4" s="109" t="s">
        <v>0</v>
      </c>
      <c r="C4" s="109" t="s">
        <v>1</v>
      </c>
      <c r="D4" s="109" t="s">
        <v>2</v>
      </c>
      <c r="E4" s="108"/>
      <c r="F4" s="108"/>
    </row>
    <row r="5" spans="1:6" s="99" customFormat="1" ht="26.25" customHeight="1" x14ac:dyDescent="0.15">
      <c r="A5" s="106" t="s">
        <v>212</v>
      </c>
      <c r="B5" s="105">
        <f>SUM(C5,D5)</f>
        <v>7319</v>
      </c>
      <c r="C5" s="105">
        <f>SUM(C6:C22)</f>
        <v>3600</v>
      </c>
      <c r="D5" s="105">
        <f>SUM(D6:D22)</f>
        <v>3719</v>
      </c>
    </row>
    <row r="6" spans="1:6" s="98" customFormat="1" ht="26.25" customHeight="1" x14ac:dyDescent="0.15">
      <c r="A6" s="102" t="s">
        <v>173</v>
      </c>
      <c r="B6" s="101">
        <v>124</v>
      </c>
      <c r="C6" s="100">
        <v>65</v>
      </c>
      <c r="D6" s="100">
        <v>59</v>
      </c>
      <c r="E6" s="99"/>
      <c r="F6" s="99"/>
    </row>
    <row r="7" spans="1:6" s="104" customFormat="1" ht="26.25" customHeight="1" x14ac:dyDescent="0.15">
      <c r="A7" s="102" t="s">
        <v>199</v>
      </c>
      <c r="B7" s="101">
        <v>204</v>
      </c>
      <c r="C7" s="100">
        <v>105</v>
      </c>
      <c r="D7" s="100">
        <v>99</v>
      </c>
      <c r="E7" s="99"/>
      <c r="F7" s="99"/>
    </row>
    <row r="8" spans="1:6" s="104" customFormat="1" ht="26.25" customHeight="1" x14ac:dyDescent="0.15">
      <c r="A8" s="102" t="s">
        <v>198</v>
      </c>
      <c r="B8" s="101">
        <v>107</v>
      </c>
      <c r="C8" s="100">
        <v>56</v>
      </c>
      <c r="D8" s="100">
        <v>51</v>
      </c>
      <c r="E8" s="99"/>
      <c r="F8" s="99"/>
    </row>
    <row r="9" spans="1:6" s="104" customFormat="1" ht="26.25" customHeight="1" x14ac:dyDescent="0.15">
      <c r="A9" s="102" t="s">
        <v>197</v>
      </c>
      <c r="B9" s="101">
        <v>215</v>
      </c>
      <c r="C9" s="100">
        <v>96</v>
      </c>
      <c r="D9" s="100">
        <v>119</v>
      </c>
      <c r="E9" s="99"/>
      <c r="F9" s="99"/>
    </row>
    <row r="10" spans="1:6" s="104" customFormat="1" ht="26.25" customHeight="1" x14ac:dyDescent="0.15">
      <c r="A10" s="102" t="s">
        <v>196</v>
      </c>
      <c r="B10" s="101">
        <v>802</v>
      </c>
      <c r="C10" s="100">
        <v>402</v>
      </c>
      <c r="D10" s="100">
        <v>400</v>
      </c>
      <c r="E10" s="99"/>
      <c r="F10" s="99"/>
    </row>
    <row r="11" spans="1:6" s="104" customFormat="1" ht="26.25" customHeight="1" x14ac:dyDescent="0.15">
      <c r="A11" s="102" t="s">
        <v>195</v>
      </c>
      <c r="B11" s="101">
        <v>821</v>
      </c>
      <c r="C11" s="100">
        <v>392</v>
      </c>
      <c r="D11" s="100">
        <v>429</v>
      </c>
      <c r="E11" s="99"/>
      <c r="F11" s="99"/>
    </row>
    <row r="12" spans="1:6" s="98" customFormat="1" ht="26.25" customHeight="1" x14ac:dyDescent="0.15">
      <c r="A12" s="102" t="s">
        <v>194</v>
      </c>
      <c r="B12" s="101">
        <v>813</v>
      </c>
      <c r="C12" s="100">
        <v>388</v>
      </c>
      <c r="D12" s="100">
        <v>425</v>
      </c>
      <c r="E12" s="99"/>
      <c r="F12" s="99"/>
    </row>
    <row r="13" spans="1:6" s="104" customFormat="1" ht="26.25" customHeight="1" x14ac:dyDescent="0.15">
      <c r="A13" s="102" t="s">
        <v>193</v>
      </c>
      <c r="B13" s="101">
        <v>899</v>
      </c>
      <c r="C13" s="100">
        <v>444</v>
      </c>
      <c r="D13" s="100">
        <v>455</v>
      </c>
      <c r="E13" s="99"/>
      <c r="F13" s="99"/>
    </row>
    <row r="14" spans="1:6" s="103" customFormat="1" ht="26.25" customHeight="1" x14ac:dyDescent="0.15">
      <c r="A14" s="102" t="s">
        <v>192</v>
      </c>
      <c r="B14" s="101">
        <v>709</v>
      </c>
      <c r="C14" s="100">
        <v>369</v>
      </c>
      <c r="D14" s="100">
        <v>340</v>
      </c>
      <c r="E14" s="99"/>
      <c r="F14" s="99"/>
    </row>
    <row r="15" spans="1:6" s="103" customFormat="1" ht="26.25" customHeight="1" x14ac:dyDescent="0.15">
      <c r="A15" s="102" t="s">
        <v>191</v>
      </c>
      <c r="B15" s="101">
        <v>533</v>
      </c>
      <c r="C15" s="100">
        <v>263</v>
      </c>
      <c r="D15" s="100">
        <v>270</v>
      </c>
      <c r="E15" s="99"/>
      <c r="F15" s="99"/>
    </row>
    <row r="16" spans="1:6" s="103" customFormat="1" ht="26.25" customHeight="1" x14ac:dyDescent="0.15">
      <c r="A16" s="102" t="s">
        <v>190</v>
      </c>
      <c r="B16" s="101">
        <v>583</v>
      </c>
      <c r="C16" s="100">
        <v>276</v>
      </c>
      <c r="D16" s="100">
        <v>307</v>
      </c>
      <c r="E16" s="99"/>
      <c r="F16" s="99"/>
    </row>
    <row r="17" spans="1:6" s="103" customFormat="1" ht="26.25" customHeight="1" x14ac:dyDescent="0.15">
      <c r="A17" s="102" t="s">
        <v>189</v>
      </c>
      <c r="B17" s="101">
        <v>663</v>
      </c>
      <c r="C17" s="100">
        <v>326</v>
      </c>
      <c r="D17" s="100">
        <v>337</v>
      </c>
      <c r="E17" s="99"/>
      <c r="F17" s="99"/>
    </row>
    <row r="18" spans="1:6" s="98" customFormat="1" ht="26.25" customHeight="1" x14ac:dyDescent="0.15">
      <c r="A18" s="102" t="s">
        <v>188</v>
      </c>
      <c r="B18" s="101">
        <v>457</v>
      </c>
      <c r="C18" s="100">
        <v>222</v>
      </c>
      <c r="D18" s="100">
        <v>235</v>
      </c>
      <c r="E18" s="99"/>
      <c r="F18" s="99"/>
    </row>
    <row r="19" spans="1:6" s="98" customFormat="1" ht="26.25" customHeight="1" x14ac:dyDescent="0.15">
      <c r="A19" s="102" t="s">
        <v>187</v>
      </c>
      <c r="B19" s="101">
        <v>245</v>
      </c>
      <c r="C19" s="100">
        <v>128</v>
      </c>
      <c r="D19" s="100">
        <v>117</v>
      </c>
      <c r="E19" s="99"/>
      <c r="F19" s="99"/>
    </row>
    <row r="20" spans="1:6" s="103" customFormat="1" ht="26.25" customHeight="1" x14ac:dyDescent="0.15">
      <c r="A20" s="102" t="s">
        <v>186</v>
      </c>
      <c r="B20" s="101">
        <v>98</v>
      </c>
      <c r="C20" s="100">
        <v>51</v>
      </c>
      <c r="D20" s="100">
        <v>47</v>
      </c>
      <c r="E20" s="99"/>
      <c r="F20" s="99"/>
    </row>
    <row r="21" spans="1:6" s="103" customFormat="1" ht="26.25" customHeight="1" x14ac:dyDescent="0.15">
      <c r="A21" s="102" t="s">
        <v>185</v>
      </c>
      <c r="B21" s="101">
        <v>32</v>
      </c>
      <c r="C21" s="100">
        <v>13</v>
      </c>
      <c r="D21" s="100">
        <v>19</v>
      </c>
      <c r="E21" s="99"/>
      <c r="F21" s="99"/>
    </row>
    <row r="22" spans="1:6" s="98" customFormat="1" ht="26.25" customHeight="1" x14ac:dyDescent="0.15">
      <c r="A22" s="102" t="s">
        <v>211</v>
      </c>
      <c r="B22" s="101">
        <v>14</v>
      </c>
      <c r="C22" s="100">
        <v>4</v>
      </c>
      <c r="D22" s="100">
        <v>10</v>
      </c>
      <c r="E22" s="99"/>
      <c r="F22" s="99"/>
    </row>
    <row r="23" spans="1:6" ht="15.95" customHeight="1" x14ac:dyDescent="0.15">
      <c r="E23" s="96"/>
      <c r="F23" s="54"/>
    </row>
  </sheetData>
  <mergeCells count="3">
    <mergeCell ref="A1:D1"/>
    <mergeCell ref="B3:D3"/>
    <mergeCell ref="A3:A4"/>
  </mergeCells>
  <phoneticPr fontId="5" type="noConversion"/>
  <conditionalFormatting sqref="B5:D22">
    <cfRule type="expression" dxfId="2" priority="1">
      <formula>B5&lt;&gt;#REF!</formula>
    </cfRule>
  </conditionalFormatting>
  <pageMargins left="0.94" right="0.19685039370078741" top="1.5748031496062993" bottom="0.98425196850393704" header="0.23622047244094491" footer="0.19685039370078741"/>
  <pageSetup paperSize="9" scale="75" orientation="portrait" blackAndWhite="1" horizontalDpi="300" verticalDpi="300" r:id="rId1"/>
  <headerFooter alignWithMargins="0">
    <oddFooter xml:space="preserve">&amp;R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C6"/>
  <sheetViews>
    <sheetView view="pageBreakPreview" zoomScaleNormal="100" zoomScaleSheetLayoutView="100" workbookViewId="0">
      <pane xSplit="1" ySplit="4" topLeftCell="B5" activePane="bottomRight" state="frozen"/>
      <selection pane="topRight" activeCell="B1" sqref="B1"/>
      <selection pane="bottomLeft" activeCell="A8" sqref="A8"/>
      <selection pane="bottomRight" activeCell="I20" sqref="I20"/>
    </sheetView>
  </sheetViews>
  <sheetFormatPr defaultColWidth="13.42578125" defaultRowHeight="15.75" customHeight="1" x14ac:dyDescent="0.15"/>
  <cols>
    <col min="1" max="1" width="12.28515625" style="115" customWidth="1"/>
    <col min="2" max="2" width="8.7109375" style="103" customWidth="1"/>
    <col min="3" max="3" width="8.7109375" style="114" customWidth="1"/>
    <col min="4" max="4" width="8.7109375" style="103" customWidth="1"/>
    <col min="5" max="14" width="8.7109375" style="2" customWidth="1"/>
    <col min="15" max="16" width="8.7109375" style="112" customWidth="1"/>
    <col min="17" max="24" width="8.7109375" style="2" customWidth="1"/>
    <col min="25" max="25" width="8.7109375" style="53" customWidth="1"/>
    <col min="26" max="30" width="8.7109375" style="2" customWidth="1"/>
    <col min="31" max="31" width="8.7109375" style="53" customWidth="1"/>
    <col min="32" max="39" width="8.7109375" style="2" customWidth="1"/>
    <col min="40" max="40" width="8.7109375" style="53" customWidth="1"/>
    <col min="41" max="51" width="8.7109375" style="2" customWidth="1"/>
    <col min="52" max="52" width="8.7109375" style="53" customWidth="1"/>
    <col min="53" max="57" width="8.7109375" style="2" customWidth="1"/>
    <col min="58" max="58" width="8.7109375" style="53" customWidth="1"/>
    <col min="59" max="59" width="8.7109375" style="2" customWidth="1"/>
    <col min="60" max="61" width="8.7109375" style="112" customWidth="1"/>
    <col min="62" max="62" width="8.7109375" style="2" customWidth="1"/>
    <col min="63" max="64" width="8.7109375" style="112" customWidth="1"/>
    <col min="65" max="71" width="8.7109375" style="2" customWidth="1"/>
    <col min="72" max="73" width="8.7109375" style="112" customWidth="1"/>
    <col min="74" max="74" width="8.7109375" style="2" customWidth="1"/>
    <col min="75" max="75" width="8.7109375" style="112" customWidth="1"/>
    <col min="76" max="76" width="8.7109375" style="113" customWidth="1"/>
    <col min="77" max="77" width="8.7109375" style="2" customWidth="1"/>
    <col min="78" max="79" width="8.7109375" style="112" customWidth="1"/>
    <col min="80" max="81" width="8.7109375" style="2" customWidth="1"/>
    <col min="82" max="82" width="8.7109375" style="53" customWidth="1"/>
    <col min="83" max="84" width="8.7109375" style="2" customWidth="1"/>
    <col min="85" max="85" width="8.7109375" style="53" customWidth="1"/>
    <col min="86" max="87" width="8.7109375" style="2" customWidth="1"/>
    <col min="88" max="88" width="8.7109375" style="53" customWidth="1"/>
    <col min="89" max="90" width="8.7109375" style="2" customWidth="1"/>
    <col min="91" max="91" width="8.7109375" style="53" customWidth="1"/>
    <col min="92" max="99" width="8.7109375" style="2" customWidth="1"/>
    <col min="100" max="100" width="8.7109375" style="53" customWidth="1"/>
    <col min="101" max="101" width="8.7109375" style="2" customWidth="1"/>
    <col min="102" max="103" width="8.7109375" style="112" customWidth="1"/>
    <col min="104" max="108" width="8.7109375" style="2" customWidth="1"/>
    <col min="109" max="109" width="8.7109375" style="53" customWidth="1"/>
    <col min="110" max="111" width="8.7109375" style="2" customWidth="1"/>
    <col min="112" max="112" width="8.7109375" style="53" customWidth="1"/>
    <col min="113" max="114" width="8.7109375" style="2" customWidth="1"/>
    <col min="115" max="115" width="8.7109375" style="53" customWidth="1"/>
    <col min="116" max="117" width="8.7109375" style="2" customWidth="1"/>
    <col min="118" max="118" width="8.7109375" style="53" customWidth="1"/>
    <col min="119" max="119" width="8.7109375" style="2" customWidth="1"/>
    <col min="120" max="121" width="8.7109375" style="112" customWidth="1"/>
    <col min="122" max="122" width="8.7109375" style="2" customWidth="1"/>
    <col min="123" max="124" width="8.7109375" style="112" customWidth="1"/>
    <col min="125" max="129" width="8.7109375" style="2" customWidth="1"/>
    <col min="130" max="130" width="8.7109375" style="53" customWidth="1"/>
    <col min="131" max="131" width="8.7109375" style="2" customWidth="1"/>
    <col min="132" max="132" width="8.7109375" style="112" customWidth="1"/>
    <col min="133" max="133" width="8.7109375" style="113" customWidth="1"/>
    <col min="134" max="134" width="8.7109375" style="2" customWidth="1"/>
    <col min="135" max="135" width="8.7109375" style="112" customWidth="1"/>
    <col min="136" max="136" width="8.7109375" style="113" customWidth="1"/>
    <col min="137" max="137" width="8.7109375" style="2" customWidth="1"/>
    <col min="138" max="138" width="8.7109375" style="112" customWidth="1"/>
    <col min="139" max="139" width="8.7109375" style="113" customWidth="1"/>
    <col min="140" max="141" width="8.7109375" style="2" customWidth="1"/>
    <col min="142" max="142" width="8.7109375" style="53" customWidth="1"/>
    <col min="143" max="143" width="8.7109375" style="2" customWidth="1"/>
    <col min="144" max="145" width="8.7109375" style="112" customWidth="1"/>
    <col min="146" max="146" width="8.7109375" style="2" customWidth="1"/>
    <col min="147" max="147" width="8.7109375" style="112" customWidth="1"/>
    <col min="148" max="148" width="8.7109375" style="113" customWidth="1"/>
    <col min="149" max="150" width="8.7109375" style="2" customWidth="1"/>
    <col min="151" max="151" width="8.7109375" style="53" customWidth="1"/>
    <col min="152" max="152" width="8.7109375" style="2" customWidth="1"/>
    <col min="153" max="153" width="8.7109375" style="112" customWidth="1"/>
    <col min="154" max="154" width="8.7109375" style="113" customWidth="1"/>
    <col min="155" max="155" width="8.7109375" style="2" customWidth="1"/>
    <col min="156" max="156" width="8.7109375" style="112" customWidth="1"/>
    <col min="157" max="157" width="8.7109375" style="113" customWidth="1"/>
    <col min="158" max="158" width="8.7109375" style="2" customWidth="1"/>
    <col min="159" max="160" width="8.7109375" style="112" customWidth="1"/>
    <col min="161" max="162" width="8.7109375" style="2" customWidth="1"/>
    <col min="163" max="163" width="8.7109375" style="53" customWidth="1"/>
    <col min="164" max="165" width="8.7109375" style="2" customWidth="1"/>
    <col min="166" max="166" width="8.7109375" style="53" customWidth="1"/>
    <col min="167" max="168" width="8.7109375" style="2" customWidth="1"/>
    <col min="169" max="169" width="8.7109375" style="53" customWidth="1"/>
    <col min="170" max="170" width="8.7109375" style="2" customWidth="1"/>
    <col min="171" max="172" width="8.7109375" style="112" customWidth="1"/>
    <col min="173" max="173" width="8.7109375" style="2" customWidth="1"/>
    <col min="174" max="175" width="8.7109375" style="112" customWidth="1"/>
    <col min="176" max="176" width="8.7109375" style="2" customWidth="1"/>
    <col min="177" max="177" width="8.7109375" style="112" customWidth="1"/>
    <col min="178" max="178" width="8.7109375" style="113" customWidth="1"/>
    <col min="179" max="179" width="8.7109375" style="2" customWidth="1"/>
    <col min="180" max="181" width="8.7109375" style="112" customWidth="1"/>
    <col min="182" max="183" width="8.7109375" style="2" customWidth="1"/>
    <col min="184" max="184" width="8.7109375" style="53" customWidth="1"/>
    <col min="185" max="186" width="8.7109375" style="2" customWidth="1"/>
    <col min="187" max="187" width="8.7109375" style="53" customWidth="1"/>
    <col min="188" max="188" width="8.7109375" style="2" customWidth="1"/>
    <col min="189" max="190" width="8.7109375" style="112" customWidth="1"/>
    <col min="191" max="191" width="8.7109375" style="2" customWidth="1"/>
    <col min="192" max="192" width="8.7109375" style="112" customWidth="1"/>
    <col min="193" max="193" width="8.7109375" style="113" customWidth="1"/>
    <col min="194" max="194" width="8.7109375" style="2" customWidth="1"/>
    <col min="195" max="196" width="8.7109375" style="112" customWidth="1"/>
    <col min="197" max="198" width="8.7109375" style="2" customWidth="1"/>
    <col min="199" max="199" width="8.7109375" style="53" customWidth="1"/>
    <col min="200" max="200" width="8.7109375" style="2" customWidth="1"/>
    <col min="201" max="201" width="8.7109375" style="112" customWidth="1"/>
    <col min="202" max="202" width="8.7109375" style="113" customWidth="1"/>
    <col min="203" max="205" width="8.7109375" style="112" customWidth="1"/>
    <col min="206" max="209" width="8.7109375" style="2" customWidth="1"/>
    <col min="210" max="211" width="8.7109375" style="112" customWidth="1"/>
    <col min="212" max="212" width="8.7109375" style="2" customWidth="1"/>
    <col min="213" max="213" width="8.7109375" style="112" customWidth="1"/>
    <col min="214" max="214" width="8.7109375" style="113" customWidth="1"/>
    <col min="215" max="215" width="8.7109375" style="2" customWidth="1"/>
    <col min="216" max="216" width="8.7109375" style="112" customWidth="1"/>
    <col min="217" max="217" width="8.7109375" style="113" customWidth="1"/>
    <col min="218" max="219" width="8.7109375" style="2" customWidth="1"/>
    <col min="220" max="220" width="8.7109375" style="53" customWidth="1"/>
    <col min="221" max="221" width="8.7109375" style="2" customWidth="1"/>
    <col min="222" max="223" width="8.7109375" style="112" customWidth="1"/>
    <col min="224" max="224" width="8.7109375" style="2" customWidth="1"/>
    <col min="225" max="225" width="8.7109375" style="112" customWidth="1"/>
    <col min="226" max="226" width="8.7109375" style="113" customWidth="1"/>
    <col min="227" max="227" width="8.7109375" style="2" customWidth="1"/>
    <col min="228" max="228" width="8.7109375" style="112" customWidth="1"/>
    <col min="229" max="229" width="8.7109375" style="113" customWidth="1"/>
    <col min="230" max="231" width="8.7109375" style="2" customWidth="1"/>
    <col min="232" max="232" width="8.7109375" style="53" customWidth="1"/>
    <col min="233" max="233" width="8.7109375" style="2" customWidth="1"/>
    <col min="234" max="234" width="8.7109375" style="112" customWidth="1"/>
    <col min="235" max="235" width="8.7109375" style="113" customWidth="1"/>
    <col min="236" max="237" width="8.7109375" style="2" customWidth="1"/>
    <col min="238" max="238" width="8.7109375" style="53" customWidth="1"/>
    <col min="239" max="239" width="8.7109375" style="2" customWidth="1"/>
    <col min="240" max="241" width="8.7109375" style="112" customWidth="1"/>
    <col min="242" max="243" width="8.7109375" style="2" customWidth="1"/>
    <col min="244" max="244" width="8.7109375" style="53" customWidth="1"/>
    <col min="245" max="245" width="8.7109375" style="2" customWidth="1"/>
    <col min="246" max="246" width="8.7109375" style="112" customWidth="1"/>
    <col min="247" max="247" width="8.7109375" style="113" customWidth="1"/>
    <col min="248" max="248" width="8.7109375" style="2" customWidth="1"/>
    <col min="249" max="249" width="8.7109375" style="112" customWidth="1"/>
    <col min="250" max="250" width="8.7109375" style="113" customWidth="1"/>
    <col min="251" max="251" width="8.7109375" style="2" customWidth="1"/>
    <col min="252" max="253" width="8.7109375" style="112" customWidth="1"/>
    <col min="254" max="255" width="8.7109375" style="2" customWidth="1"/>
    <col min="256" max="256" width="8.7109375" style="53" customWidth="1"/>
    <col min="257" max="257" width="8.7109375" style="2" customWidth="1"/>
    <col min="258" max="259" width="8.7109375" style="112" customWidth="1"/>
    <col min="260" max="261" width="8.7109375" style="2" customWidth="1"/>
    <col min="262" max="262" width="8.7109375" style="53" customWidth="1"/>
    <col min="263" max="263" width="8.7109375" style="2" customWidth="1"/>
    <col min="264" max="265" width="8.7109375" style="112" customWidth="1"/>
    <col min="266" max="266" width="8.7109375" style="2" customWidth="1"/>
    <col min="267" max="268" width="8.7109375" style="112" customWidth="1"/>
    <col min="269" max="269" width="8.7109375" style="2" customWidth="1"/>
    <col min="270" max="274" width="8.7109375" style="112" customWidth="1"/>
    <col min="275" max="275" width="8.7109375" style="2" customWidth="1"/>
    <col min="276" max="277" width="8.7109375" style="112" customWidth="1"/>
    <col min="278" max="278" width="8.7109375" style="2" customWidth="1"/>
    <col min="279" max="280" width="8.7109375" style="112" customWidth="1"/>
    <col min="281" max="281" width="8.7109375" style="2" customWidth="1"/>
    <col min="282" max="283" width="8.7109375" style="112" customWidth="1"/>
    <col min="284" max="284" width="8.7109375" style="2" customWidth="1"/>
    <col min="285" max="286" width="8.7109375" style="112" customWidth="1"/>
    <col min="287" max="287" width="8.7109375" style="2" customWidth="1"/>
    <col min="288" max="289" width="8.7109375" style="112" customWidth="1"/>
    <col min="290" max="290" width="8.7109375" style="2" customWidth="1"/>
    <col min="291" max="292" width="8.7109375" style="112" customWidth="1"/>
    <col min="293" max="293" width="8.7109375" style="2" customWidth="1"/>
    <col min="294" max="295" width="8.7109375" style="112" customWidth="1"/>
    <col min="296" max="296" width="8.7109375" style="2" customWidth="1"/>
    <col min="297" max="298" width="8.7109375" style="112" customWidth="1"/>
    <col min="299" max="299" width="8.7109375" style="2" customWidth="1"/>
    <col min="300" max="301" width="8.7109375" style="112" customWidth="1"/>
    <col min="302" max="302" width="8.7109375" style="2" customWidth="1"/>
    <col min="303" max="304" width="8.7109375" style="112" customWidth="1"/>
    <col min="305" max="305" width="8.7109375" style="2" customWidth="1"/>
    <col min="306" max="307" width="8.7109375" style="112" customWidth="1"/>
    <col min="308" max="308" width="8.7109375" style="2" customWidth="1"/>
    <col min="309" max="310" width="8.7109375" style="112" customWidth="1"/>
    <col min="311" max="311" width="8.7109375" style="2" customWidth="1"/>
    <col min="312" max="313" width="8.7109375" style="112" customWidth="1"/>
    <col min="314" max="314" width="8.7109375" style="2" customWidth="1"/>
    <col min="315" max="316" width="8.7109375" style="112" customWidth="1"/>
    <col min="317" max="317" width="8.7109375" style="2" customWidth="1"/>
    <col min="318" max="319" width="8.7109375" style="112" customWidth="1"/>
    <col min="320" max="320" width="8.7109375" style="2" customWidth="1"/>
    <col min="321" max="322" width="8.7109375" style="112" customWidth="1"/>
    <col min="323" max="323" width="8.7109375" style="2" customWidth="1"/>
    <col min="324" max="325" width="8.7109375" style="112" customWidth="1"/>
    <col min="326" max="326" width="8.7109375" style="2" customWidth="1"/>
    <col min="327" max="328" width="8.7109375" style="112" customWidth="1"/>
    <col min="329" max="329" width="8.7109375" style="2" customWidth="1"/>
    <col min="330" max="331" width="8.7109375" style="112" customWidth="1"/>
    <col min="332" max="332" width="8.7109375" style="2" customWidth="1"/>
    <col min="333" max="334" width="8.7109375" style="112" customWidth="1"/>
    <col min="335" max="335" width="8.7109375" style="2" customWidth="1"/>
    <col min="336" max="337" width="8.7109375" style="112" customWidth="1"/>
    <col min="338" max="338" width="8.7109375" style="2" customWidth="1"/>
    <col min="339" max="340" width="8.7109375" style="112" customWidth="1"/>
    <col min="341" max="341" width="8.7109375" style="2" customWidth="1"/>
    <col min="342" max="343" width="8.7109375" style="112" customWidth="1"/>
    <col min="344" max="344" width="8.7109375" style="2" customWidth="1"/>
    <col min="345" max="346" width="8.7109375" style="112" customWidth="1"/>
    <col min="347" max="347" width="8.7109375" style="2" customWidth="1"/>
    <col min="348" max="349" width="8.7109375" style="112" customWidth="1"/>
    <col min="350" max="350" width="8.7109375" style="2" customWidth="1"/>
    <col min="351" max="352" width="8.7109375" style="112" customWidth="1"/>
    <col min="353" max="353" width="8.7109375" style="2" customWidth="1"/>
    <col min="354" max="355" width="8.7109375" style="112" customWidth="1"/>
    <col min="356" max="356" width="8.7109375" style="2" customWidth="1"/>
    <col min="357" max="358" width="8.7109375" style="112" customWidth="1"/>
    <col min="359" max="359" width="8.7109375" style="2" customWidth="1"/>
    <col min="360" max="361" width="8.7109375" style="112" customWidth="1"/>
    <col min="362" max="362" width="8.7109375" style="2" customWidth="1"/>
    <col min="363" max="364" width="8.7109375" style="112" customWidth="1"/>
    <col min="365" max="365" width="8.7109375" style="2" customWidth="1"/>
    <col min="366" max="367" width="8.7109375" style="112" customWidth="1"/>
    <col min="368" max="368" width="8.7109375" style="2" customWidth="1"/>
    <col min="369" max="370" width="8.7109375" style="112" customWidth="1"/>
    <col min="371" max="371" width="8.7109375" style="2" customWidth="1"/>
    <col min="372" max="373" width="8.7109375" style="112" customWidth="1"/>
    <col min="374" max="374" width="8.7109375" style="2" customWidth="1"/>
    <col min="375" max="376" width="8.7109375" style="112" customWidth="1"/>
    <col min="377" max="377" width="8.7109375" style="2" customWidth="1"/>
    <col min="378" max="379" width="8.7109375" style="112" customWidth="1"/>
    <col min="380" max="380" width="8.7109375" style="2" customWidth="1"/>
    <col min="381" max="382" width="8.7109375" style="112" customWidth="1"/>
    <col min="383" max="383" width="8.7109375" style="2" customWidth="1"/>
    <col min="384" max="385" width="8.7109375" style="112" customWidth="1"/>
    <col min="386" max="386" width="8.7109375" style="2" customWidth="1"/>
    <col min="387" max="388" width="8.7109375" style="112" customWidth="1"/>
    <col min="389" max="389" width="8.7109375" style="2" customWidth="1"/>
    <col min="390" max="391" width="8.7109375" style="112" customWidth="1"/>
    <col min="392" max="392" width="8.7109375" style="2" customWidth="1"/>
    <col min="393" max="394" width="8.7109375" style="112" customWidth="1"/>
    <col min="395" max="395" width="8.7109375" style="2" customWidth="1"/>
    <col min="396" max="397" width="8.7109375" style="112" customWidth="1"/>
    <col min="398" max="398" width="8.7109375" style="2" customWidth="1"/>
    <col min="399" max="400" width="8.7109375" style="112" customWidth="1"/>
    <col min="401" max="401" width="8.7109375" style="2" customWidth="1"/>
    <col min="402" max="403" width="8.7109375" style="112" customWidth="1"/>
    <col min="404" max="404" width="8.7109375" style="2" customWidth="1"/>
    <col min="405" max="406" width="8.7109375" style="112" customWidth="1"/>
    <col min="407" max="407" width="8.7109375" style="2" customWidth="1"/>
    <col min="408" max="409" width="8.7109375" style="112" customWidth="1"/>
    <col min="410" max="410" width="8.7109375" style="2" customWidth="1"/>
    <col min="411" max="412" width="8.7109375" style="112" customWidth="1"/>
    <col min="413" max="413" width="8.7109375" style="2" customWidth="1"/>
    <col min="414" max="415" width="8.7109375" style="112" customWidth="1"/>
    <col min="416" max="416" width="8.7109375" style="2" customWidth="1"/>
    <col min="417" max="418" width="8.7109375" style="112" customWidth="1"/>
    <col min="419" max="419" width="8.7109375" style="2" customWidth="1"/>
    <col min="420" max="421" width="8.7109375" style="112" customWidth="1"/>
    <col min="422" max="422" width="8.7109375" style="2" customWidth="1"/>
    <col min="423" max="424" width="8.7109375" style="112" customWidth="1"/>
    <col min="425" max="425" width="8.7109375" style="2" customWidth="1"/>
    <col min="426" max="427" width="8.7109375" style="112" customWidth="1"/>
    <col min="428" max="428" width="8.7109375" style="2" customWidth="1"/>
    <col min="429" max="430" width="8.7109375" style="112" customWidth="1"/>
    <col min="431" max="431" width="8.7109375" style="2" customWidth="1"/>
    <col min="432" max="433" width="8.7109375" style="112" customWidth="1"/>
    <col min="434" max="434" width="8.7109375" style="2" customWidth="1"/>
    <col min="435" max="436" width="8.7109375" style="112" customWidth="1"/>
    <col min="437" max="437" width="8.7109375" style="2" customWidth="1"/>
    <col min="438" max="439" width="8.7109375" style="112" customWidth="1"/>
    <col min="440" max="440" width="8.7109375" style="2" customWidth="1"/>
    <col min="441" max="442" width="8.7109375" style="112" customWidth="1"/>
    <col min="443" max="443" width="8.7109375" style="2" customWidth="1"/>
    <col min="444" max="445" width="8.7109375" style="112" customWidth="1"/>
    <col min="446" max="446" width="8.7109375" style="2" customWidth="1"/>
    <col min="447" max="448" width="8.7109375" style="112" customWidth="1"/>
    <col min="449" max="449" width="8.7109375" style="2" customWidth="1"/>
    <col min="450" max="451" width="8.7109375" style="112" customWidth="1"/>
    <col min="452" max="452" width="8.7109375" style="2" customWidth="1"/>
    <col min="453" max="454" width="8.7109375" style="112" customWidth="1"/>
    <col min="455" max="455" width="8.7109375" style="2" customWidth="1"/>
    <col min="456" max="457" width="8.7109375" style="112" customWidth="1"/>
    <col min="458" max="458" width="8.7109375" style="2" customWidth="1"/>
    <col min="459" max="460" width="8.7109375" style="112" customWidth="1"/>
    <col min="461" max="461" width="8.7109375" style="2" customWidth="1"/>
    <col min="462" max="463" width="8.7109375" style="112" customWidth="1"/>
    <col min="464" max="464" width="8.7109375" style="2" customWidth="1"/>
    <col min="465" max="466" width="8.7109375" style="112" customWidth="1"/>
    <col min="467" max="467" width="8.7109375" style="2" customWidth="1"/>
    <col min="468" max="469" width="8.7109375" style="112" customWidth="1"/>
    <col min="470" max="470" width="8.7109375" style="2" customWidth="1"/>
    <col min="471" max="472" width="8.7109375" style="112" customWidth="1"/>
    <col min="473" max="473" width="8.7109375" style="2" customWidth="1"/>
    <col min="474" max="475" width="8.7109375" style="112" customWidth="1"/>
    <col min="476" max="476" width="8.7109375" style="2" customWidth="1"/>
    <col min="477" max="478" width="8.7109375" style="112" customWidth="1"/>
    <col min="479" max="479" width="8.7109375" style="2" customWidth="1"/>
    <col min="480" max="481" width="8.7109375" style="112" customWidth="1"/>
    <col min="482" max="482" width="8.7109375" style="2" customWidth="1"/>
    <col min="483" max="484" width="8.7109375" style="112" customWidth="1"/>
    <col min="485" max="485" width="8.7109375" style="2" customWidth="1"/>
    <col min="486" max="487" width="8.7109375" style="112" customWidth="1"/>
    <col min="488" max="488" width="8.7109375" style="2" customWidth="1"/>
    <col min="489" max="490" width="8.7109375" style="112" customWidth="1"/>
    <col min="491" max="491" width="8.7109375" style="2" customWidth="1"/>
    <col min="492" max="493" width="8.7109375" style="112" customWidth="1"/>
    <col min="494" max="494" width="8.7109375" style="2" customWidth="1"/>
    <col min="495" max="496" width="8.7109375" style="112" customWidth="1"/>
    <col min="497" max="497" width="8.7109375" style="2" customWidth="1"/>
    <col min="498" max="499" width="8.7109375" style="112" customWidth="1"/>
    <col min="500" max="500" width="8.7109375" style="2" customWidth="1"/>
    <col min="501" max="502" width="8.7109375" style="112" customWidth="1"/>
    <col min="503" max="503" width="8.7109375" style="2" customWidth="1"/>
    <col min="504" max="505" width="8.7109375" style="112" customWidth="1"/>
    <col min="506" max="601" width="8.7109375" style="2" customWidth="1"/>
    <col min="602" max="16384" width="13.42578125" style="2"/>
  </cols>
  <sheetData>
    <row r="1" spans="1:2837" s="133" customFormat="1" ht="26.25" customHeight="1" x14ac:dyDescent="0.15">
      <c r="A1" s="191" t="s">
        <v>416</v>
      </c>
      <c r="B1" s="191"/>
      <c r="C1" s="191"/>
      <c r="D1" s="191"/>
      <c r="E1" s="191"/>
      <c r="F1" s="191"/>
      <c r="G1" s="191"/>
      <c r="H1" s="191"/>
      <c r="I1" s="191"/>
      <c r="J1" s="191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147"/>
      <c r="CV1" s="147"/>
      <c r="CW1" s="147"/>
      <c r="CX1" s="147"/>
      <c r="CY1" s="147"/>
      <c r="CZ1" s="147"/>
      <c r="DA1" s="147"/>
      <c r="DB1" s="147"/>
      <c r="DC1" s="147"/>
      <c r="DD1" s="147"/>
      <c r="DE1" s="147"/>
      <c r="DF1" s="147"/>
      <c r="DG1" s="147"/>
      <c r="DH1" s="147"/>
      <c r="DI1" s="147"/>
      <c r="DJ1" s="147"/>
      <c r="DK1" s="147"/>
      <c r="DL1" s="147"/>
      <c r="DM1" s="147"/>
      <c r="DN1" s="147"/>
      <c r="DO1" s="147"/>
      <c r="DP1" s="147"/>
      <c r="DQ1" s="147"/>
      <c r="DR1" s="147"/>
      <c r="DS1" s="147"/>
      <c r="DT1" s="147"/>
      <c r="DU1" s="147"/>
      <c r="DV1" s="147"/>
      <c r="DW1" s="147"/>
      <c r="DX1" s="147"/>
      <c r="DY1" s="147"/>
      <c r="DZ1" s="147"/>
      <c r="EA1" s="147"/>
      <c r="EB1" s="147"/>
      <c r="EC1" s="147"/>
      <c r="ED1" s="147"/>
      <c r="EE1" s="147"/>
      <c r="EF1" s="147"/>
      <c r="EG1" s="147"/>
      <c r="EH1" s="147"/>
      <c r="EI1" s="147"/>
      <c r="EJ1" s="147"/>
      <c r="EK1" s="147"/>
      <c r="EL1" s="147"/>
      <c r="EM1" s="147"/>
      <c r="EN1" s="147"/>
      <c r="EO1" s="147"/>
      <c r="EP1" s="147"/>
      <c r="EQ1" s="147"/>
      <c r="ER1" s="147"/>
      <c r="ES1" s="147"/>
      <c r="ET1" s="147"/>
      <c r="EU1" s="147"/>
      <c r="EV1" s="147"/>
      <c r="EW1" s="147"/>
      <c r="EX1" s="147"/>
      <c r="EY1" s="147"/>
      <c r="EZ1" s="147"/>
      <c r="FA1" s="147"/>
      <c r="FB1" s="147"/>
      <c r="FC1" s="147"/>
      <c r="FD1" s="147"/>
      <c r="FE1" s="147"/>
      <c r="FF1" s="147"/>
      <c r="FG1" s="147"/>
      <c r="FH1" s="147"/>
      <c r="FI1" s="147"/>
      <c r="FJ1" s="147"/>
      <c r="FK1" s="147"/>
      <c r="FL1" s="147"/>
      <c r="FM1" s="147"/>
      <c r="FN1" s="147"/>
      <c r="FO1" s="147"/>
      <c r="FP1" s="147"/>
      <c r="FQ1" s="147"/>
      <c r="FR1" s="147"/>
      <c r="FS1" s="147"/>
      <c r="FT1" s="147"/>
      <c r="FU1" s="147"/>
      <c r="FV1" s="147"/>
      <c r="FW1" s="147"/>
      <c r="FX1" s="147"/>
      <c r="FY1" s="147"/>
      <c r="FZ1" s="147"/>
      <c r="GA1" s="147"/>
      <c r="GB1" s="147"/>
      <c r="GC1" s="147"/>
      <c r="GD1" s="147"/>
      <c r="GE1" s="147"/>
      <c r="GF1" s="147"/>
      <c r="GG1" s="147"/>
      <c r="GH1" s="147"/>
      <c r="GI1" s="147"/>
      <c r="GJ1" s="147"/>
      <c r="GK1" s="147"/>
      <c r="GL1" s="147"/>
      <c r="GM1" s="147"/>
      <c r="GN1" s="147"/>
      <c r="GO1" s="147"/>
      <c r="GP1" s="147"/>
      <c r="GQ1" s="147"/>
      <c r="GR1" s="147"/>
      <c r="GS1" s="147"/>
      <c r="GT1" s="147"/>
      <c r="GU1" s="147"/>
      <c r="GV1" s="147"/>
      <c r="GW1" s="147"/>
      <c r="GX1" s="147"/>
      <c r="GY1" s="147"/>
      <c r="GZ1" s="147"/>
      <c r="HA1" s="147"/>
      <c r="HB1" s="147"/>
      <c r="HC1" s="147"/>
      <c r="HD1" s="147"/>
      <c r="HE1" s="147"/>
      <c r="HF1" s="147"/>
      <c r="HG1" s="147"/>
      <c r="HH1" s="147"/>
      <c r="HI1" s="147"/>
      <c r="HJ1" s="147"/>
      <c r="HK1" s="147"/>
      <c r="HL1" s="147"/>
      <c r="HM1" s="147"/>
      <c r="HN1" s="147"/>
      <c r="HO1" s="147"/>
      <c r="HP1" s="147"/>
      <c r="HQ1" s="147"/>
      <c r="HR1" s="147"/>
      <c r="HS1" s="147"/>
      <c r="HT1" s="147"/>
      <c r="HU1" s="147"/>
      <c r="HV1" s="147"/>
      <c r="HW1" s="147"/>
      <c r="HX1" s="147"/>
      <c r="HY1" s="147"/>
      <c r="HZ1" s="147"/>
      <c r="IA1" s="147"/>
      <c r="IB1" s="147"/>
      <c r="IC1" s="147"/>
      <c r="ID1" s="147"/>
      <c r="IE1" s="147"/>
      <c r="IF1" s="147"/>
      <c r="IG1" s="147"/>
      <c r="IH1" s="147"/>
      <c r="II1" s="147"/>
      <c r="IJ1" s="147"/>
      <c r="IK1" s="147"/>
      <c r="IL1" s="147"/>
      <c r="IM1" s="147"/>
      <c r="IN1" s="147"/>
      <c r="IO1" s="147"/>
      <c r="IP1" s="147"/>
      <c r="IQ1" s="147"/>
      <c r="IR1" s="147"/>
      <c r="IS1" s="147"/>
      <c r="IT1" s="147"/>
      <c r="IU1" s="147"/>
      <c r="IV1" s="147"/>
      <c r="IW1" s="147"/>
      <c r="IX1" s="147"/>
      <c r="IY1" s="147"/>
      <c r="IZ1" s="147"/>
      <c r="JA1" s="147"/>
      <c r="JB1" s="147"/>
      <c r="JC1" s="147"/>
      <c r="JD1" s="147"/>
      <c r="JE1" s="147"/>
      <c r="JF1" s="147"/>
      <c r="JG1" s="147"/>
      <c r="JH1" s="147"/>
      <c r="JI1" s="147"/>
      <c r="JJ1" s="147"/>
      <c r="JK1" s="147"/>
      <c r="JL1" s="147"/>
      <c r="JM1" s="147"/>
      <c r="JN1" s="147"/>
      <c r="JO1" s="147"/>
      <c r="JP1" s="147"/>
      <c r="JQ1" s="147"/>
      <c r="JR1" s="147"/>
      <c r="JS1" s="147"/>
      <c r="JT1" s="147"/>
      <c r="JU1" s="147"/>
      <c r="JV1" s="147"/>
      <c r="JW1" s="147"/>
      <c r="JX1" s="147"/>
      <c r="JY1" s="147"/>
      <c r="JZ1" s="147"/>
      <c r="KA1" s="147"/>
      <c r="KB1" s="147"/>
      <c r="KC1" s="147"/>
      <c r="KD1" s="147"/>
      <c r="KE1" s="147"/>
      <c r="KF1" s="147"/>
      <c r="KG1" s="147"/>
      <c r="KH1" s="147"/>
      <c r="KI1" s="147"/>
      <c r="KJ1" s="147"/>
      <c r="KK1" s="147"/>
      <c r="KL1" s="147"/>
      <c r="KM1" s="147"/>
      <c r="KN1" s="147"/>
      <c r="KO1" s="147"/>
      <c r="KP1" s="147"/>
      <c r="KQ1" s="147"/>
      <c r="KR1" s="147"/>
      <c r="KS1" s="147"/>
      <c r="KT1" s="147"/>
      <c r="KU1" s="147"/>
      <c r="KV1" s="147"/>
      <c r="KW1" s="147"/>
      <c r="KX1" s="147"/>
      <c r="KY1" s="147"/>
      <c r="KZ1" s="147"/>
      <c r="LA1" s="147"/>
      <c r="LB1" s="147"/>
      <c r="LC1" s="147"/>
      <c r="LD1" s="147"/>
      <c r="LE1" s="147"/>
      <c r="LF1" s="147"/>
      <c r="LG1" s="147"/>
      <c r="LH1" s="147"/>
      <c r="LI1" s="147"/>
      <c r="LJ1" s="147"/>
      <c r="LK1" s="147"/>
      <c r="LL1" s="147"/>
      <c r="LM1" s="147"/>
      <c r="LN1" s="147"/>
      <c r="LO1" s="147"/>
      <c r="LP1" s="147"/>
      <c r="LQ1" s="147"/>
      <c r="LR1" s="147"/>
      <c r="LS1" s="147"/>
      <c r="LT1" s="147"/>
      <c r="LU1" s="147"/>
      <c r="LV1" s="147"/>
      <c r="LW1" s="147"/>
      <c r="LX1" s="147"/>
      <c r="LY1" s="147"/>
      <c r="LZ1" s="147"/>
      <c r="MA1" s="147"/>
      <c r="MB1" s="147"/>
      <c r="MC1" s="147"/>
      <c r="MD1" s="147"/>
      <c r="ME1" s="147"/>
      <c r="MF1" s="147"/>
      <c r="MG1" s="147"/>
      <c r="MH1" s="147"/>
      <c r="MI1" s="147"/>
      <c r="MJ1" s="147"/>
      <c r="MK1" s="147"/>
      <c r="ML1" s="147"/>
      <c r="MM1" s="147"/>
      <c r="MN1" s="147"/>
      <c r="MO1" s="147"/>
      <c r="MP1" s="147"/>
      <c r="MQ1" s="147"/>
      <c r="MR1" s="147"/>
      <c r="MS1" s="147"/>
      <c r="MT1" s="147"/>
      <c r="MU1" s="147"/>
      <c r="MV1" s="147"/>
      <c r="MW1" s="147"/>
      <c r="MX1" s="147"/>
      <c r="MY1" s="147"/>
      <c r="MZ1" s="147"/>
      <c r="NA1" s="147"/>
      <c r="NB1" s="147"/>
      <c r="NC1" s="147"/>
      <c r="ND1" s="147"/>
      <c r="NE1" s="147"/>
      <c r="NF1" s="147"/>
      <c r="NG1" s="147"/>
      <c r="NH1" s="147"/>
      <c r="NI1" s="147"/>
      <c r="NJ1" s="147"/>
      <c r="NK1" s="147"/>
      <c r="NL1" s="147"/>
      <c r="NM1" s="147"/>
      <c r="NN1" s="147"/>
      <c r="NO1" s="147"/>
      <c r="NP1" s="147"/>
      <c r="NQ1" s="147"/>
      <c r="NR1" s="147"/>
      <c r="NS1" s="147"/>
      <c r="NT1" s="147"/>
      <c r="NU1" s="147"/>
      <c r="NV1" s="147"/>
      <c r="NW1" s="147"/>
      <c r="NX1" s="147"/>
      <c r="NY1" s="147"/>
      <c r="NZ1" s="147"/>
      <c r="OA1" s="147"/>
      <c r="OB1" s="147"/>
      <c r="OC1" s="147"/>
      <c r="OD1" s="147"/>
      <c r="OE1" s="147"/>
      <c r="OF1" s="147"/>
      <c r="OG1" s="147"/>
      <c r="OH1" s="147"/>
      <c r="OI1" s="147"/>
      <c r="OJ1" s="147"/>
      <c r="OK1" s="147"/>
      <c r="OL1" s="147"/>
      <c r="OM1" s="147"/>
      <c r="ON1" s="147"/>
      <c r="OO1" s="147"/>
      <c r="OP1" s="147"/>
      <c r="OQ1" s="147"/>
      <c r="OR1" s="147"/>
      <c r="OS1" s="147"/>
      <c r="OT1" s="147"/>
      <c r="OU1" s="147"/>
      <c r="OV1" s="147"/>
      <c r="OW1" s="147"/>
      <c r="OX1" s="147"/>
      <c r="OY1" s="147"/>
      <c r="OZ1" s="147"/>
      <c r="PA1" s="147"/>
      <c r="PB1" s="147"/>
      <c r="PC1" s="147"/>
      <c r="PD1" s="147"/>
      <c r="PE1" s="147"/>
      <c r="PF1" s="147"/>
      <c r="PG1" s="147"/>
      <c r="PH1" s="147"/>
      <c r="PI1" s="147"/>
      <c r="PJ1" s="147"/>
      <c r="PK1" s="147"/>
      <c r="PL1" s="147"/>
      <c r="PM1" s="147"/>
      <c r="PN1" s="147"/>
      <c r="PO1" s="147"/>
      <c r="PP1" s="147"/>
      <c r="PQ1" s="147"/>
      <c r="PR1" s="147"/>
      <c r="PS1" s="147"/>
      <c r="PT1" s="147"/>
      <c r="PU1" s="147"/>
      <c r="PV1" s="147"/>
      <c r="PW1" s="147"/>
      <c r="PX1" s="147"/>
      <c r="PY1" s="147"/>
      <c r="PZ1" s="147"/>
      <c r="QA1" s="147"/>
      <c r="QB1" s="147"/>
      <c r="QC1" s="147"/>
      <c r="QD1" s="147"/>
      <c r="QE1" s="147"/>
      <c r="QF1" s="147"/>
      <c r="QG1" s="147"/>
      <c r="QH1" s="147"/>
      <c r="QI1" s="147"/>
      <c r="QJ1" s="147"/>
      <c r="QK1" s="147"/>
      <c r="QL1" s="147"/>
      <c r="QM1" s="147"/>
      <c r="QN1" s="147"/>
      <c r="QO1" s="147"/>
      <c r="QP1" s="147"/>
      <c r="QQ1" s="147"/>
      <c r="QR1" s="147"/>
      <c r="QS1" s="147"/>
      <c r="QT1" s="147"/>
      <c r="QU1" s="147"/>
      <c r="QV1" s="147"/>
      <c r="QW1" s="147"/>
      <c r="QX1" s="147"/>
      <c r="QY1" s="147"/>
      <c r="QZ1" s="147"/>
      <c r="RA1" s="147"/>
      <c r="RB1" s="147"/>
      <c r="RC1" s="147"/>
      <c r="RD1" s="147"/>
      <c r="RE1" s="147"/>
      <c r="RF1" s="147"/>
      <c r="RG1" s="147"/>
      <c r="RH1" s="147"/>
      <c r="RI1" s="147"/>
      <c r="RJ1" s="147"/>
      <c r="RK1" s="147"/>
      <c r="RL1" s="147"/>
      <c r="RM1" s="147"/>
      <c r="RN1" s="147"/>
      <c r="RO1" s="147"/>
      <c r="RP1" s="147"/>
      <c r="RQ1" s="147"/>
      <c r="RR1" s="147"/>
      <c r="RS1" s="147"/>
      <c r="RT1" s="147"/>
      <c r="RU1" s="147"/>
      <c r="RV1" s="147"/>
      <c r="RW1" s="147"/>
      <c r="RX1" s="147"/>
      <c r="RY1" s="147"/>
      <c r="RZ1" s="147"/>
      <c r="SA1" s="147"/>
      <c r="SB1" s="147"/>
      <c r="SC1" s="147"/>
      <c r="SD1" s="147"/>
      <c r="SE1" s="147"/>
      <c r="SF1" s="147"/>
      <c r="SG1" s="147"/>
      <c r="SH1" s="147"/>
      <c r="SI1" s="147"/>
      <c r="SJ1" s="147"/>
      <c r="SK1" s="147"/>
      <c r="SL1" s="147"/>
      <c r="SM1" s="147"/>
      <c r="SN1" s="147"/>
      <c r="SO1" s="147"/>
      <c r="SP1" s="147"/>
      <c r="SQ1" s="147"/>
      <c r="SR1" s="147"/>
      <c r="SS1" s="147"/>
      <c r="ST1" s="147"/>
      <c r="SU1" s="147"/>
      <c r="SV1" s="147"/>
      <c r="SW1" s="147"/>
      <c r="SX1" s="147"/>
      <c r="SY1" s="147"/>
      <c r="SZ1" s="147"/>
      <c r="TA1" s="147"/>
      <c r="TB1" s="147"/>
      <c r="TC1" s="147"/>
      <c r="TD1" s="147"/>
      <c r="TE1" s="147"/>
      <c r="TF1" s="147"/>
      <c r="TG1" s="147"/>
      <c r="TH1" s="147"/>
      <c r="TI1" s="147"/>
      <c r="TJ1" s="147"/>
      <c r="TK1" s="147"/>
      <c r="TL1" s="147"/>
      <c r="TM1" s="147"/>
      <c r="TN1" s="147"/>
      <c r="TO1" s="147"/>
      <c r="TP1" s="147"/>
      <c r="TQ1" s="147"/>
      <c r="TR1" s="147"/>
      <c r="TS1" s="147"/>
      <c r="TT1" s="147"/>
      <c r="TU1" s="147"/>
      <c r="TV1" s="147"/>
      <c r="TW1" s="147"/>
      <c r="TX1" s="147"/>
      <c r="TY1" s="147"/>
      <c r="TZ1" s="147"/>
      <c r="UA1" s="147"/>
      <c r="UB1" s="147"/>
      <c r="UC1" s="147"/>
      <c r="UD1" s="147"/>
      <c r="UE1" s="147"/>
      <c r="UF1" s="147"/>
      <c r="UG1" s="147"/>
      <c r="UH1" s="147"/>
      <c r="UI1" s="147"/>
      <c r="UJ1" s="147"/>
      <c r="UK1" s="147"/>
      <c r="UL1" s="147"/>
      <c r="UM1" s="147"/>
      <c r="UN1" s="147"/>
      <c r="UO1" s="147"/>
      <c r="UP1" s="147"/>
      <c r="UQ1" s="147"/>
      <c r="UR1" s="147"/>
      <c r="US1" s="147"/>
      <c r="UT1" s="147"/>
      <c r="UU1" s="147"/>
      <c r="UV1" s="147"/>
      <c r="UW1" s="147"/>
      <c r="UX1" s="147"/>
      <c r="UY1" s="147"/>
      <c r="UZ1" s="147"/>
      <c r="VA1" s="147"/>
      <c r="VB1" s="147"/>
      <c r="VC1" s="147"/>
      <c r="VD1" s="147"/>
      <c r="VE1" s="147"/>
      <c r="VF1" s="147"/>
      <c r="VG1" s="147"/>
      <c r="VH1" s="147"/>
      <c r="VI1" s="147"/>
      <c r="VJ1" s="147"/>
      <c r="VK1" s="147"/>
      <c r="VL1" s="147"/>
      <c r="VM1" s="147"/>
      <c r="VN1" s="147"/>
      <c r="VO1" s="147"/>
      <c r="VP1" s="147"/>
      <c r="VQ1" s="147"/>
      <c r="VR1" s="147"/>
      <c r="VS1" s="147"/>
      <c r="VT1" s="147"/>
      <c r="VU1" s="147"/>
      <c r="VV1" s="147"/>
      <c r="VW1" s="147"/>
      <c r="VX1" s="147"/>
      <c r="VY1" s="147"/>
      <c r="VZ1" s="147"/>
      <c r="WA1" s="147"/>
      <c r="WB1" s="147"/>
      <c r="WC1" s="147"/>
    </row>
    <row r="2" spans="1:2837" s="140" customFormat="1" ht="18.75" customHeight="1" x14ac:dyDescent="0.15">
      <c r="A2" s="143" t="s">
        <v>13</v>
      </c>
      <c r="B2" s="146"/>
      <c r="C2" s="145"/>
      <c r="D2" s="144"/>
      <c r="J2" s="93" t="s">
        <v>213</v>
      </c>
      <c r="L2" s="143"/>
      <c r="O2" s="143"/>
      <c r="AJ2" s="143"/>
      <c r="AM2" s="143"/>
      <c r="BB2" s="143"/>
      <c r="BQ2" s="143"/>
      <c r="BT2" s="143"/>
      <c r="CC2" s="142"/>
      <c r="CD2" s="141"/>
      <c r="CR2" s="143"/>
      <c r="CU2" s="142"/>
      <c r="CX2" s="143"/>
      <c r="DA2" s="141"/>
      <c r="DB2" s="141"/>
      <c r="DD2" s="141"/>
      <c r="DE2" s="141"/>
      <c r="DG2" s="141"/>
      <c r="DJ2" s="142"/>
      <c r="DK2" s="141"/>
      <c r="DM2" s="142"/>
      <c r="DN2" s="141"/>
      <c r="DP2" s="141"/>
      <c r="DQ2" s="141"/>
      <c r="DS2" s="141"/>
      <c r="DT2" s="141"/>
      <c r="DV2" s="141"/>
      <c r="DW2" s="141"/>
      <c r="DY2" s="141"/>
      <c r="DZ2" s="141"/>
      <c r="EB2" s="141"/>
      <c r="EC2" s="141"/>
      <c r="EE2" s="141"/>
      <c r="EF2" s="141"/>
      <c r="EH2" s="141"/>
      <c r="EI2" s="141"/>
      <c r="EK2" s="141"/>
      <c r="EL2" s="141"/>
      <c r="EN2" s="141"/>
      <c r="EO2" s="141"/>
      <c r="EQ2" s="141"/>
      <c r="ET2" s="141"/>
      <c r="EU2" s="141"/>
      <c r="EW2" s="141"/>
      <c r="EX2" s="141"/>
      <c r="EZ2" s="141"/>
      <c r="FA2" s="141"/>
      <c r="FC2" s="141"/>
      <c r="FD2" s="141"/>
      <c r="FF2" s="141"/>
      <c r="FG2" s="141"/>
      <c r="FI2" s="142"/>
      <c r="FJ2" s="141"/>
      <c r="FL2" s="141"/>
      <c r="FM2" s="141"/>
      <c r="FO2" s="141"/>
      <c r="FP2" s="141"/>
      <c r="FR2" s="141"/>
      <c r="FS2" s="141"/>
      <c r="FU2" s="141"/>
      <c r="FV2" s="141"/>
      <c r="GD2" s="141"/>
      <c r="GE2" s="141"/>
      <c r="GJ2" s="141"/>
      <c r="GK2" s="141"/>
      <c r="GM2" s="141"/>
      <c r="GN2" s="141"/>
      <c r="GP2" s="142"/>
      <c r="GQ2" s="141"/>
      <c r="GS2" s="141"/>
      <c r="GT2" s="141"/>
      <c r="GY2" s="141"/>
      <c r="GZ2" s="141"/>
      <c r="HB2" s="141"/>
      <c r="HC2" s="141"/>
      <c r="HE2" s="142"/>
      <c r="HF2" s="141"/>
      <c r="HK2" s="142"/>
      <c r="HL2" s="141"/>
      <c r="HW2" s="141"/>
      <c r="HX2" s="141"/>
      <c r="HZ2" s="141"/>
      <c r="IA2" s="141"/>
      <c r="IF2" s="141"/>
      <c r="IG2" s="141"/>
      <c r="IL2" s="142"/>
      <c r="IM2" s="141"/>
      <c r="IX2" s="142"/>
      <c r="IY2" s="141"/>
      <c r="WD2" s="133"/>
      <c r="WE2" s="133"/>
      <c r="WF2" s="133"/>
      <c r="WG2" s="133"/>
      <c r="WH2" s="133"/>
      <c r="WI2" s="133"/>
      <c r="WJ2" s="133"/>
      <c r="WK2" s="133"/>
      <c r="WL2" s="133"/>
      <c r="WM2" s="133"/>
      <c r="WN2" s="133"/>
      <c r="WO2" s="133"/>
      <c r="WP2" s="133"/>
      <c r="WQ2" s="133"/>
      <c r="WR2" s="133"/>
      <c r="WS2" s="133"/>
      <c r="WT2" s="133"/>
      <c r="WU2" s="133"/>
      <c r="WV2" s="133"/>
      <c r="WW2" s="133"/>
      <c r="WX2" s="133"/>
      <c r="WY2" s="133"/>
      <c r="WZ2" s="133"/>
      <c r="XA2" s="133"/>
      <c r="XB2" s="133"/>
      <c r="XC2" s="133"/>
      <c r="XD2" s="133"/>
      <c r="XE2" s="133"/>
      <c r="XF2" s="133"/>
      <c r="XG2" s="133"/>
      <c r="XH2" s="133"/>
      <c r="XI2" s="133"/>
      <c r="XJ2" s="133"/>
      <c r="XK2" s="133"/>
      <c r="XL2" s="133"/>
      <c r="XM2" s="133"/>
      <c r="XN2" s="133"/>
      <c r="XO2" s="133"/>
      <c r="XP2" s="133"/>
      <c r="XQ2" s="133"/>
      <c r="XR2" s="133"/>
      <c r="XS2" s="133"/>
      <c r="XT2" s="133"/>
      <c r="XU2" s="133"/>
      <c r="XV2" s="133"/>
      <c r="XW2" s="133"/>
      <c r="XX2" s="133"/>
      <c r="XY2" s="133"/>
      <c r="XZ2" s="133"/>
      <c r="YA2" s="133"/>
      <c r="YB2" s="133"/>
      <c r="YC2" s="133"/>
      <c r="YD2" s="133"/>
      <c r="YE2" s="133"/>
      <c r="YF2" s="133"/>
      <c r="YG2" s="133"/>
      <c r="YH2" s="133"/>
      <c r="YI2" s="133"/>
      <c r="YJ2" s="133"/>
      <c r="YK2" s="133"/>
      <c r="YL2" s="133"/>
      <c r="YM2" s="133"/>
      <c r="YN2" s="133"/>
      <c r="YO2" s="133"/>
      <c r="YP2" s="133"/>
      <c r="YQ2" s="133"/>
      <c r="YR2" s="133"/>
      <c r="YS2" s="133"/>
      <c r="YT2" s="133"/>
      <c r="YU2" s="133"/>
      <c r="YV2" s="133"/>
      <c r="YW2" s="133"/>
      <c r="YX2" s="133"/>
      <c r="YY2" s="133"/>
      <c r="YZ2" s="133"/>
      <c r="ZA2" s="133"/>
      <c r="ZB2" s="133"/>
      <c r="ZC2" s="133"/>
      <c r="ZD2" s="133"/>
      <c r="ZE2" s="133"/>
      <c r="ZF2" s="133"/>
      <c r="ZG2" s="133"/>
      <c r="ZH2" s="133"/>
      <c r="ZI2" s="133"/>
      <c r="ZJ2" s="133"/>
      <c r="ZK2" s="133"/>
      <c r="ZL2" s="133"/>
      <c r="ZM2" s="133"/>
      <c r="ZN2" s="133"/>
      <c r="ZO2" s="133"/>
      <c r="ZP2" s="133"/>
      <c r="ZQ2" s="133"/>
      <c r="ZR2" s="133"/>
      <c r="ZS2" s="133"/>
      <c r="ZT2" s="133"/>
      <c r="ZU2" s="133"/>
      <c r="ZV2" s="133"/>
      <c r="ZW2" s="133"/>
      <c r="ZX2" s="133"/>
      <c r="ZY2" s="133"/>
      <c r="ZZ2" s="133"/>
      <c r="AAA2" s="133"/>
      <c r="AAB2" s="133"/>
      <c r="AAC2" s="133"/>
      <c r="AAD2" s="133"/>
      <c r="AAE2" s="133"/>
      <c r="AAF2" s="133"/>
      <c r="AAG2" s="133"/>
      <c r="AAH2" s="133"/>
      <c r="AAI2" s="133"/>
      <c r="AAJ2" s="133"/>
      <c r="AAK2" s="133"/>
      <c r="AAL2" s="133"/>
      <c r="AAM2" s="133"/>
      <c r="AAN2" s="133"/>
      <c r="AAO2" s="133"/>
      <c r="AAP2" s="133"/>
      <c r="AAQ2" s="133"/>
      <c r="AAR2" s="133"/>
      <c r="AAS2" s="133"/>
      <c r="AAT2" s="133"/>
      <c r="AAU2" s="133"/>
      <c r="AAV2" s="133"/>
      <c r="AAW2" s="133"/>
      <c r="AAX2" s="133"/>
      <c r="AAY2" s="133"/>
      <c r="AAZ2" s="133"/>
      <c r="ABA2" s="133"/>
      <c r="ABB2" s="133"/>
      <c r="ABC2" s="133"/>
      <c r="ABD2" s="133"/>
      <c r="ABE2" s="133"/>
      <c r="ABF2" s="133"/>
      <c r="ABG2" s="133"/>
      <c r="ABH2" s="133"/>
      <c r="ABI2" s="133"/>
      <c r="ABJ2" s="133"/>
      <c r="ABK2" s="133"/>
      <c r="ABL2" s="133"/>
      <c r="ABM2" s="133"/>
      <c r="ABN2" s="133"/>
      <c r="ABO2" s="133"/>
      <c r="ABP2" s="133"/>
      <c r="ABQ2" s="133"/>
      <c r="ABR2" s="133"/>
      <c r="ABS2" s="133"/>
      <c r="ABT2" s="133"/>
      <c r="ABU2" s="133"/>
      <c r="ABV2" s="133"/>
      <c r="ABW2" s="133"/>
      <c r="ABX2" s="133"/>
      <c r="ABY2" s="133"/>
      <c r="ABZ2" s="133"/>
      <c r="ACA2" s="133"/>
      <c r="ACB2" s="133"/>
      <c r="ACC2" s="133"/>
      <c r="ACD2" s="133"/>
      <c r="ACE2" s="133"/>
      <c r="ACF2" s="133"/>
      <c r="ACG2" s="133"/>
      <c r="ACH2" s="133"/>
      <c r="ACI2" s="133"/>
      <c r="ACJ2" s="133"/>
      <c r="ACK2" s="133"/>
      <c r="ACL2" s="133"/>
      <c r="ACM2" s="133"/>
      <c r="ACN2" s="133"/>
      <c r="ACO2" s="133"/>
      <c r="ACP2" s="133"/>
      <c r="ACQ2" s="133"/>
      <c r="ACR2" s="133"/>
      <c r="ACS2" s="133"/>
      <c r="ACT2" s="133"/>
      <c r="ACU2" s="133"/>
      <c r="ACV2" s="133"/>
      <c r="ACW2" s="133"/>
      <c r="ACX2" s="133"/>
      <c r="ACY2" s="133"/>
      <c r="ACZ2" s="133"/>
      <c r="ADA2" s="133"/>
      <c r="ADB2" s="133"/>
      <c r="ADC2" s="133"/>
      <c r="ADD2" s="133"/>
      <c r="ADE2" s="133"/>
      <c r="ADF2" s="133"/>
      <c r="ADG2" s="133"/>
      <c r="ADH2" s="133"/>
      <c r="ADI2" s="133"/>
      <c r="ADJ2" s="133"/>
      <c r="ADK2" s="133"/>
      <c r="ADL2" s="133"/>
      <c r="ADM2" s="133"/>
      <c r="ADN2" s="133"/>
      <c r="ADO2" s="133"/>
      <c r="ADP2" s="133"/>
      <c r="ADQ2" s="133"/>
      <c r="ADR2" s="133"/>
      <c r="ADS2" s="133"/>
      <c r="ADT2" s="133"/>
      <c r="ADU2" s="133"/>
      <c r="ADV2" s="133"/>
      <c r="ADW2" s="133"/>
      <c r="ADX2" s="133"/>
      <c r="ADY2" s="133"/>
      <c r="ADZ2" s="133"/>
      <c r="AEA2" s="133"/>
      <c r="AEB2" s="133"/>
      <c r="AEC2" s="133"/>
      <c r="AED2" s="133"/>
      <c r="AEE2" s="133"/>
      <c r="AEF2" s="133"/>
      <c r="AEG2" s="133"/>
      <c r="AEH2" s="133"/>
      <c r="AEI2" s="133"/>
      <c r="AEJ2" s="133"/>
      <c r="AEK2" s="133"/>
      <c r="AEL2" s="133"/>
      <c r="AEM2" s="133"/>
      <c r="AEN2" s="133"/>
      <c r="AEO2" s="133"/>
      <c r="AEP2" s="133"/>
      <c r="AEQ2" s="133"/>
      <c r="AER2" s="133"/>
      <c r="AES2" s="133"/>
      <c r="AET2" s="133"/>
      <c r="AEU2" s="133"/>
      <c r="AEV2" s="133"/>
      <c r="AEW2" s="133"/>
      <c r="AEX2" s="133"/>
      <c r="AEY2" s="133"/>
      <c r="AEZ2" s="133"/>
      <c r="AFA2" s="133"/>
      <c r="AFB2" s="133"/>
      <c r="AFC2" s="133"/>
      <c r="AFD2" s="133"/>
      <c r="AFE2" s="133"/>
      <c r="AFF2" s="133"/>
      <c r="AFG2" s="133"/>
      <c r="AFH2" s="133"/>
      <c r="AFI2" s="133"/>
      <c r="AFJ2" s="133"/>
      <c r="AFK2" s="133"/>
      <c r="AFL2" s="133"/>
      <c r="AFM2" s="133"/>
      <c r="AFN2" s="133"/>
      <c r="AFO2" s="133"/>
      <c r="AFP2" s="133"/>
      <c r="AFQ2" s="133"/>
      <c r="AFR2" s="133"/>
      <c r="AFS2" s="133"/>
      <c r="AFT2" s="133"/>
      <c r="AFU2" s="133"/>
      <c r="AFV2" s="133"/>
      <c r="AFW2" s="133"/>
      <c r="AFX2" s="133"/>
      <c r="AFY2" s="133"/>
      <c r="AFZ2" s="133"/>
      <c r="AGA2" s="133"/>
      <c r="AGB2" s="133"/>
      <c r="AGC2" s="133"/>
      <c r="AGD2" s="133"/>
      <c r="AGE2" s="133"/>
      <c r="AGF2" s="133"/>
      <c r="AGG2" s="133"/>
      <c r="AGH2" s="133"/>
      <c r="AGI2" s="133"/>
      <c r="AGJ2" s="133"/>
      <c r="AGK2" s="133"/>
      <c r="AGL2" s="133"/>
      <c r="AGM2" s="133"/>
      <c r="AGN2" s="133"/>
      <c r="AGO2" s="133"/>
      <c r="AGP2" s="133"/>
      <c r="AGQ2" s="133"/>
      <c r="AGR2" s="133"/>
      <c r="AGS2" s="133"/>
      <c r="AGT2" s="133"/>
      <c r="AGU2" s="133"/>
      <c r="AGV2" s="133"/>
      <c r="AGW2" s="133"/>
      <c r="AGX2" s="133"/>
      <c r="AGY2" s="133"/>
      <c r="AGZ2" s="133"/>
      <c r="AHA2" s="133"/>
      <c r="AHB2" s="133"/>
      <c r="AHC2" s="133"/>
      <c r="AHD2" s="133"/>
      <c r="AHE2" s="133"/>
      <c r="AHF2" s="133"/>
      <c r="AHG2" s="133"/>
      <c r="AHH2" s="133"/>
      <c r="AHI2" s="133"/>
      <c r="AHJ2" s="133"/>
      <c r="AHK2" s="133"/>
      <c r="AHL2" s="133"/>
      <c r="AHM2" s="133"/>
      <c r="AHN2" s="133"/>
      <c r="AHO2" s="133"/>
      <c r="AHP2" s="133"/>
      <c r="AHQ2" s="133"/>
      <c r="AHR2" s="133"/>
      <c r="AHS2" s="133"/>
      <c r="AHT2" s="133"/>
      <c r="AHU2" s="133"/>
      <c r="AHV2" s="133"/>
      <c r="AHW2" s="133"/>
      <c r="AHX2" s="133"/>
      <c r="AHY2" s="133"/>
      <c r="AHZ2" s="133"/>
      <c r="AIA2" s="133"/>
      <c r="AIB2" s="133"/>
      <c r="AIC2" s="133"/>
      <c r="AID2" s="133"/>
      <c r="AIE2" s="133"/>
      <c r="AIF2" s="133"/>
      <c r="AIG2" s="133"/>
      <c r="AIH2" s="133"/>
      <c r="AII2" s="133"/>
      <c r="AIJ2" s="133"/>
      <c r="AIK2" s="133"/>
      <c r="AIL2" s="133"/>
      <c r="AIM2" s="133"/>
      <c r="AIN2" s="133"/>
      <c r="AIO2" s="133"/>
      <c r="AIP2" s="133"/>
      <c r="AIQ2" s="133"/>
      <c r="AIR2" s="133"/>
      <c r="AIS2" s="133"/>
      <c r="AIT2" s="133"/>
      <c r="AIU2" s="133"/>
      <c r="AIV2" s="133"/>
      <c r="AIW2" s="133"/>
      <c r="AIX2" s="133"/>
      <c r="AIY2" s="133"/>
      <c r="AIZ2" s="133"/>
      <c r="AJA2" s="133"/>
      <c r="AJB2" s="133"/>
      <c r="AJC2" s="133"/>
      <c r="AJD2" s="133"/>
      <c r="AJE2" s="133"/>
      <c r="AJF2" s="133"/>
      <c r="AJG2" s="133"/>
      <c r="AJH2" s="133"/>
      <c r="AJI2" s="133"/>
      <c r="AJJ2" s="133"/>
      <c r="AJK2" s="133"/>
      <c r="AJL2" s="133"/>
      <c r="AJM2" s="133"/>
      <c r="AJN2" s="133"/>
      <c r="AJO2" s="133"/>
      <c r="AJP2" s="133"/>
      <c r="AJQ2" s="133"/>
      <c r="AJR2" s="133"/>
      <c r="AJS2" s="133"/>
      <c r="AJT2" s="133"/>
      <c r="AJU2" s="133"/>
      <c r="AJV2" s="133"/>
      <c r="AJW2" s="133"/>
      <c r="AJX2" s="133"/>
      <c r="AJY2" s="133"/>
      <c r="AJZ2" s="133"/>
      <c r="AKA2" s="133"/>
      <c r="AKB2" s="133"/>
      <c r="AKC2" s="133"/>
      <c r="AKD2" s="133"/>
      <c r="AKE2" s="133"/>
      <c r="AKF2" s="133"/>
      <c r="AKG2" s="133"/>
      <c r="AKH2" s="133"/>
      <c r="AKI2" s="133"/>
      <c r="AKJ2" s="133"/>
      <c r="AKK2" s="133"/>
      <c r="AKL2" s="133"/>
      <c r="AKM2" s="133"/>
      <c r="AKN2" s="133"/>
      <c r="AKO2" s="133"/>
      <c r="AKP2" s="133"/>
      <c r="AKQ2" s="133"/>
      <c r="AKR2" s="133"/>
      <c r="AKS2" s="133"/>
      <c r="AKT2" s="133"/>
      <c r="AKU2" s="133"/>
      <c r="AKV2" s="133"/>
      <c r="AKW2" s="133"/>
      <c r="AKX2" s="133"/>
      <c r="AKY2" s="133"/>
      <c r="AKZ2" s="133"/>
      <c r="ALA2" s="133"/>
      <c r="ALB2" s="133"/>
      <c r="ALC2" s="133"/>
      <c r="ALD2" s="133"/>
      <c r="ALE2" s="133"/>
      <c r="ALF2" s="133"/>
      <c r="ALG2" s="133"/>
      <c r="ALH2" s="133"/>
      <c r="ALI2" s="133"/>
      <c r="ALJ2" s="133"/>
      <c r="ALK2" s="133"/>
      <c r="ALL2" s="133"/>
      <c r="ALM2" s="133"/>
      <c r="ALN2" s="133"/>
      <c r="ALO2" s="133"/>
      <c r="ALP2" s="133"/>
      <c r="ALQ2" s="133"/>
      <c r="ALR2" s="133"/>
      <c r="ALS2" s="133"/>
      <c r="ALT2" s="133"/>
      <c r="ALU2" s="133"/>
      <c r="ALV2" s="133"/>
      <c r="ALW2" s="133"/>
      <c r="ALX2" s="133"/>
      <c r="ALY2" s="133"/>
      <c r="ALZ2" s="133"/>
      <c r="AMA2" s="133"/>
      <c r="AMB2" s="133"/>
      <c r="AMC2" s="133"/>
      <c r="AMD2" s="133"/>
      <c r="AME2" s="133"/>
      <c r="AMF2" s="133"/>
      <c r="AMG2" s="133"/>
      <c r="AMH2" s="133"/>
      <c r="AMI2" s="133"/>
      <c r="AMJ2" s="133"/>
      <c r="AMK2" s="133"/>
      <c r="AML2" s="133"/>
      <c r="AMM2" s="133"/>
      <c r="AMN2" s="133"/>
      <c r="AMO2" s="133"/>
      <c r="AMP2" s="133"/>
      <c r="AMQ2" s="133"/>
      <c r="AMR2" s="133"/>
      <c r="AMS2" s="133"/>
      <c r="AMT2" s="133"/>
      <c r="AMU2" s="133"/>
      <c r="AMV2" s="133"/>
      <c r="AMW2" s="133"/>
      <c r="AMX2" s="133"/>
      <c r="AMY2" s="133"/>
      <c r="AMZ2" s="133"/>
      <c r="ANA2" s="133"/>
      <c r="ANB2" s="133"/>
      <c r="ANC2" s="133"/>
      <c r="AND2" s="133"/>
      <c r="ANE2" s="133"/>
      <c r="ANF2" s="133"/>
      <c r="ANG2" s="133"/>
      <c r="ANH2" s="133"/>
      <c r="ANI2" s="133"/>
      <c r="ANJ2" s="133"/>
      <c r="ANK2" s="133"/>
      <c r="ANL2" s="133"/>
      <c r="ANM2" s="133"/>
      <c r="ANN2" s="133"/>
      <c r="ANO2" s="133"/>
      <c r="ANP2" s="133"/>
      <c r="ANQ2" s="133"/>
      <c r="ANR2" s="133"/>
      <c r="ANS2" s="133"/>
      <c r="ANT2" s="133"/>
      <c r="ANU2" s="133"/>
      <c r="ANV2" s="133"/>
      <c r="ANW2" s="133"/>
      <c r="ANX2" s="133"/>
      <c r="ANY2" s="133"/>
      <c r="ANZ2" s="133"/>
      <c r="AOA2" s="133"/>
      <c r="AOB2" s="133"/>
      <c r="AOC2" s="133"/>
      <c r="AOD2" s="133"/>
      <c r="AOE2" s="133"/>
      <c r="AOF2" s="133"/>
      <c r="AOG2" s="133"/>
      <c r="AOH2" s="133"/>
      <c r="AOI2" s="133"/>
      <c r="AOJ2" s="133"/>
      <c r="AOK2" s="133"/>
      <c r="AOL2" s="133"/>
      <c r="AOM2" s="133"/>
      <c r="AON2" s="133"/>
      <c r="AOO2" s="133"/>
      <c r="AOP2" s="133"/>
      <c r="AOQ2" s="133"/>
      <c r="AOR2" s="133"/>
      <c r="AOS2" s="133"/>
      <c r="AOT2" s="133"/>
      <c r="AOU2" s="133"/>
      <c r="AOV2" s="133"/>
      <c r="AOW2" s="133"/>
      <c r="AOX2" s="133"/>
      <c r="AOY2" s="133"/>
      <c r="AOZ2" s="133"/>
      <c r="APA2" s="133"/>
      <c r="APB2" s="133"/>
      <c r="APC2" s="133"/>
      <c r="APD2" s="133"/>
      <c r="APE2" s="133"/>
      <c r="APF2" s="133"/>
      <c r="APG2" s="133"/>
      <c r="APH2" s="133"/>
      <c r="API2" s="133"/>
      <c r="APJ2" s="133"/>
      <c r="APK2" s="133"/>
      <c r="APL2" s="133"/>
      <c r="APM2" s="133"/>
      <c r="APN2" s="133"/>
      <c r="APO2" s="133"/>
      <c r="APP2" s="133"/>
      <c r="APQ2" s="133"/>
      <c r="APR2" s="133"/>
      <c r="APS2" s="133"/>
      <c r="APT2" s="133"/>
      <c r="APU2" s="133"/>
      <c r="APV2" s="133"/>
      <c r="APW2" s="133"/>
      <c r="APX2" s="133"/>
      <c r="APY2" s="133"/>
      <c r="APZ2" s="133"/>
      <c r="AQA2" s="133"/>
      <c r="AQB2" s="133"/>
      <c r="AQC2" s="133"/>
      <c r="AQD2" s="133"/>
      <c r="AQE2" s="133"/>
      <c r="AQF2" s="133"/>
      <c r="AQG2" s="133"/>
      <c r="AQH2" s="133"/>
      <c r="AQI2" s="133"/>
      <c r="AQJ2" s="133"/>
      <c r="AQK2" s="133"/>
      <c r="AQL2" s="133"/>
      <c r="AQM2" s="133"/>
      <c r="AQN2" s="133"/>
      <c r="AQO2" s="133"/>
      <c r="AQP2" s="133"/>
      <c r="AQQ2" s="133"/>
      <c r="AQR2" s="133"/>
      <c r="AQS2" s="133"/>
      <c r="AQT2" s="133"/>
      <c r="AQU2" s="133"/>
      <c r="AQV2" s="133"/>
      <c r="AQW2" s="133"/>
      <c r="AQX2" s="133"/>
      <c r="AQY2" s="133"/>
      <c r="AQZ2" s="133"/>
      <c r="ARA2" s="133"/>
      <c r="ARB2" s="133"/>
      <c r="ARC2" s="133"/>
      <c r="ARD2" s="133"/>
      <c r="ARE2" s="133"/>
      <c r="ARF2" s="133"/>
      <c r="ARG2" s="133"/>
      <c r="ARH2" s="133"/>
      <c r="ARI2" s="133"/>
      <c r="ARJ2" s="133"/>
      <c r="ARK2" s="133"/>
      <c r="ARL2" s="133"/>
      <c r="ARM2" s="133"/>
      <c r="ARN2" s="133"/>
      <c r="ARO2" s="133"/>
      <c r="ARP2" s="133"/>
      <c r="ARQ2" s="133"/>
      <c r="ARR2" s="133"/>
      <c r="ARS2" s="133"/>
      <c r="ART2" s="133"/>
      <c r="ARU2" s="133"/>
      <c r="ARV2" s="133"/>
      <c r="ARW2" s="133"/>
      <c r="ARX2" s="133"/>
      <c r="ARY2" s="133"/>
      <c r="ARZ2" s="133"/>
      <c r="ASA2" s="133"/>
      <c r="ASB2" s="133"/>
      <c r="ASC2" s="133"/>
      <c r="ASD2" s="133"/>
      <c r="ASE2" s="133"/>
      <c r="ASF2" s="133"/>
      <c r="ASG2" s="133"/>
      <c r="ASH2" s="133"/>
      <c r="ASI2" s="133"/>
      <c r="ASJ2" s="133"/>
      <c r="ASK2" s="133"/>
      <c r="ASL2" s="133"/>
      <c r="ASM2" s="133"/>
      <c r="ASN2" s="133"/>
      <c r="ASO2" s="133"/>
      <c r="ASP2" s="133"/>
      <c r="ASQ2" s="133"/>
      <c r="ASR2" s="133"/>
      <c r="ASS2" s="133"/>
      <c r="AST2" s="133"/>
      <c r="ASU2" s="133"/>
      <c r="ASV2" s="133"/>
      <c r="ASW2" s="133"/>
      <c r="ASX2" s="133"/>
      <c r="ASY2" s="133"/>
      <c r="ASZ2" s="133"/>
      <c r="ATA2" s="133"/>
      <c r="ATB2" s="133"/>
      <c r="ATC2" s="133"/>
      <c r="ATD2" s="133"/>
      <c r="ATE2" s="133"/>
      <c r="ATF2" s="133"/>
      <c r="ATG2" s="133"/>
      <c r="ATH2" s="133"/>
      <c r="ATI2" s="133"/>
      <c r="ATJ2" s="133"/>
      <c r="ATK2" s="133"/>
      <c r="ATL2" s="133"/>
      <c r="ATM2" s="133"/>
      <c r="ATN2" s="133"/>
      <c r="ATO2" s="133"/>
      <c r="ATP2" s="133"/>
      <c r="ATQ2" s="133"/>
      <c r="ATR2" s="133"/>
      <c r="ATS2" s="133"/>
      <c r="ATT2" s="133"/>
      <c r="ATU2" s="133"/>
      <c r="ATV2" s="133"/>
      <c r="ATW2" s="133"/>
      <c r="ATX2" s="133"/>
      <c r="ATY2" s="133"/>
      <c r="ATZ2" s="133"/>
      <c r="AUA2" s="133"/>
      <c r="AUB2" s="133"/>
      <c r="AUC2" s="133"/>
      <c r="AUD2" s="133"/>
      <c r="AUE2" s="133"/>
      <c r="AUF2" s="133"/>
      <c r="AUG2" s="133"/>
      <c r="AUH2" s="133"/>
      <c r="AUI2" s="133"/>
      <c r="AUJ2" s="133"/>
      <c r="AUK2" s="133"/>
      <c r="AUL2" s="133"/>
      <c r="AUM2" s="133"/>
      <c r="AUN2" s="133"/>
      <c r="AUO2" s="133"/>
      <c r="AUP2" s="133"/>
      <c r="AUQ2" s="133"/>
      <c r="AUR2" s="133"/>
      <c r="AUS2" s="133"/>
      <c r="AUT2" s="133"/>
      <c r="AUU2" s="133"/>
      <c r="AUV2" s="133"/>
      <c r="AUW2" s="133"/>
      <c r="AUX2" s="133"/>
      <c r="AUY2" s="133"/>
      <c r="AUZ2" s="133"/>
      <c r="AVA2" s="133"/>
      <c r="AVB2" s="133"/>
      <c r="AVC2" s="133"/>
      <c r="AVD2" s="133"/>
      <c r="AVE2" s="133"/>
      <c r="AVF2" s="133"/>
      <c r="AVG2" s="133"/>
      <c r="AVH2" s="133"/>
      <c r="AVI2" s="133"/>
      <c r="AVJ2" s="133"/>
      <c r="AVK2" s="133"/>
      <c r="AVL2" s="133"/>
      <c r="AVM2" s="133"/>
      <c r="AVN2" s="133"/>
      <c r="AVO2" s="133"/>
      <c r="AVP2" s="133"/>
      <c r="AVQ2" s="133"/>
      <c r="AVR2" s="133"/>
      <c r="AVS2" s="133"/>
      <c r="AVT2" s="133"/>
      <c r="AVU2" s="133"/>
      <c r="AVV2" s="133"/>
      <c r="AVW2" s="133"/>
      <c r="AVX2" s="133"/>
      <c r="AVY2" s="133"/>
      <c r="AVZ2" s="133"/>
      <c r="AWA2" s="133"/>
      <c r="AWB2" s="133"/>
      <c r="AWC2" s="133"/>
      <c r="AWD2" s="133"/>
      <c r="AWE2" s="133"/>
      <c r="AWF2" s="133"/>
      <c r="AWG2" s="133"/>
      <c r="AWH2" s="133"/>
      <c r="AWI2" s="133"/>
      <c r="AWJ2" s="133"/>
      <c r="AWK2" s="133"/>
      <c r="AWL2" s="133"/>
      <c r="AWM2" s="133"/>
      <c r="AWN2" s="133"/>
      <c r="AWO2" s="133"/>
      <c r="AWP2" s="133"/>
      <c r="AWQ2" s="133"/>
      <c r="AWR2" s="133"/>
      <c r="AWS2" s="133"/>
      <c r="AWT2" s="133"/>
      <c r="AWU2" s="133"/>
      <c r="AWV2" s="133"/>
      <c r="AWW2" s="133"/>
      <c r="AWX2" s="133"/>
      <c r="AWY2" s="133"/>
      <c r="AWZ2" s="133"/>
      <c r="AXA2" s="133"/>
      <c r="AXB2" s="133"/>
      <c r="AXC2" s="133"/>
      <c r="AXD2" s="133"/>
      <c r="AXE2" s="133"/>
      <c r="AXF2" s="133"/>
      <c r="AXG2" s="133"/>
      <c r="AXH2" s="133"/>
      <c r="AXI2" s="133"/>
      <c r="AXJ2" s="133"/>
      <c r="AXK2" s="133"/>
      <c r="AXL2" s="133"/>
      <c r="AXM2" s="133"/>
      <c r="AXN2" s="133"/>
      <c r="AXO2" s="133"/>
      <c r="AXP2" s="133"/>
      <c r="AXQ2" s="133"/>
      <c r="AXR2" s="133"/>
      <c r="AXS2" s="133"/>
      <c r="AXT2" s="133"/>
      <c r="AXU2" s="133"/>
      <c r="AXV2" s="133"/>
      <c r="AXW2" s="133"/>
      <c r="AXX2" s="133"/>
      <c r="AXY2" s="133"/>
      <c r="AXZ2" s="133"/>
      <c r="AYA2" s="133"/>
      <c r="AYB2" s="133"/>
      <c r="AYC2" s="133"/>
      <c r="AYD2" s="133"/>
      <c r="AYE2" s="133"/>
      <c r="AYF2" s="133"/>
      <c r="AYG2" s="133"/>
      <c r="AYH2" s="133"/>
      <c r="AYI2" s="133"/>
      <c r="AYJ2" s="133"/>
      <c r="AYK2" s="133"/>
      <c r="AYL2" s="133"/>
      <c r="AYM2" s="133"/>
      <c r="AYN2" s="133"/>
      <c r="AYO2" s="133"/>
      <c r="AYP2" s="133"/>
      <c r="AYQ2" s="133"/>
      <c r="AYR2" s="133"/>
      <c r="AYS2" s="133"/>
      <c r="AYT2" s="133"/>
      <c r="AYU2" s="133"/>
      <c r="AYV2" s="133"/>
      <c r="AYW2" s="133"/>
      <c r="AYX2" s="133"/>
      <c r="AYY2" s="133"/>
      <c r="AYZ2" s="133"/>
      <c r="AZA2" s="133"/>
      <c r="AZB2" s="133"/>
      <c r="AZC2" s="133"/>
      <c r="AZD2" s="133"/>
      <c r="AZE2" s="133"/>
      <c r="AZF2" s="133"/>
      <c r="AZG2" s="133"/>
      <c r="AZH2" s="133"/>
      <c r="AZI2" s="133"/>
      <c r="AZJ2" s="133"/>
      <c r="AZK2" s="133"/>
      <c r="AZL2" s="133"/>
      <c r="AZM2" s="133"/>
      <c r="AZN2" s="133"/>
      <c r="AZO2" s="133"/>
      <c r="AZP2" s="133"/>
      <c r="AZQ2" s="133"/>
      <c r="AZR2" s="133"/>
      <c r="AZS2" s="133"/>
      <c r="AZT2" s="133"/>
      <c r="AZU2" s="133"/>
      <c r="AZV2" s="133"/>
      <c r="AZW2" s="133"/>
      <c r="AZX2" s="133"/>
      <c r="AZY2" s="133"/>
      <c r="AZZ2" s="133"/>
      <c r="BAA2" s="133"/>
      <c r="BAB2" s="133"/>
      <c r="BAC2" s="133"/>
      <c r="BAD2" s="133"/>
      <c r="BAE2" s="133"/>
      <c r="BAF2" s="133"/>
      <c r="BAG2" s="133"/>
      <c r="BAH2" s="133"/>
      <c r="BAI2" s="133"/>
      <c r="BAJ2" s="133"/>
      <c r="BAK2" s="133"/>
      <c r="BAL2" s="133"/>
      <c r="BAM2" s="133"/>
      <c r="BAN2" s="133"/>
      <c r="BAO2" s="133"/>
      <c r="BAP2" s="133"/>
      <c r="BAQ2" s="133"/>
      <c r="BAR2" s="133"/>
      <c r="BAS2" s="133"/>
      <c r="BAT2" s="133"/>
      <c r="BAU2" s="133"/>
      <c r="BAV2" s="133"/>
      <c r="BAW2" s="133"/>
      <c r="BAX2" s="133"/>
      <c r="BAY2" s="133"/>
      <c r="BAZ2" s="133"/>
      <c r="BBA2" s="133"/>
      <c r="BBB2" s="133"/>
      <c r="BBC2" s="133"/>
      <c r="BBD2" s="133"/>
      <c r="BBE2" s="133"/>
      <c r="BBF2" s="133"/>
      <c r="BBG2" s="133"/>
      <c r="BBH2" s="133"/>
      <c r="BBI2" s="133"/>
      <c r="BBJ2" s="133"/>
      <c r="BBK2" s="133"/>
      <c r="BBL2" s="133"/>
      <c r="BBM2" s="133"/>
      <c r="BBN2" s="133"/>
      <c r="BBO2" s="133"/>
      <c r="BBP2" s="133"/>
      <c r="BBQ2" s="133"/>
      <c r="BBR2" s="133"/>
      <c r="BBS2" s="133"/>
      <c r="BBT2" s="133"/>
      <c r="BBU2" s="133"/>
      <c r="BBV2" s="133"/>
      <c r="BBW2" s="133"/>
      <c r="BBX2" s="133"/>
      <c r="BBY2" s="133"/>
      <c r="BBZ2" s="133"/>
      <c r="BCA2" s="133"/>
      <c r="BCB2" s="133"/>
      <c r="BCC2" s="133"/>
      <c r="BCD2" s="133"/>
      <c r="BCE2" s="133"/>
      <c r="BCF2" s="133"/>
      <c r="BCG2" s="133"/>
      <c r="BCH2" s="133"/>
      <c r="BCI2" s="133"/>
      <c r="BCJ2" s="133"/>
      <c r="BCK2" s="133"/>
      <c r="BCL2" s="133"/>
      <c r="BCM2" s="133"/>
      <c r="BCN2" s="133"/>
      <c r="BCO2" s="133"/>
      <c r="BCP2" s="133"/>
      <c r="BCQ2" s="133"/>
      <c r="BCR2" s="133"/>
      <c r="BCS2" s="133"/>
      <c r="BCT2" s="133"/>
      <c r="BCU2" s="133"/>
      <c r="BCV2" s="133"/>
      <c r="BCW2" s="133"/>
      <c r="BCX2" s="133"/>
      <c r="BCY2" s="133"/>
      <c r="BCZ2" s="133"/>
      <c r="BDA2" s="133"/>
      <c r="BDB2" s="133"/>
      <c r="BDC2" s="133"/>
      <c r="BDD2" s="133"/>
      <c r="BDE2" s="133"/>
      <c r="BDF2" s="133"/>
      <c r="BDG2" s="133"/>
      <c r="BDH2" s="133"/>
      <c r="BDI2" s="133"/>
      <c r="BDJ2" s="133"/>
      <c r="BDK2" s="133"/>
      <c r="BDL2" s="133"/>
      <c r="BDM2" s="133"/>
      <c r="BDN2" s="133"/>
      <c r="BDO2" s="133"/>
      <c r="BDP2" s="133"/>
      <c r="BDQ2" s="133"/>
      <c r="BDR2" s="133"/>
      <c r="BDS2" s="133"/>
      <c r="BDT2" s="133"/>
      <c r="BDU2" s="133"/>
      <c r="BDV2" s="133"/>
      <c r="BDW2" s="133"/>
      <c r="BDX2" s="133"/>
      <c r="BDY2" s="133"/>
      <c r="BDZ2" s="133"/>
      <c r="BEA2" s="133"/>
      <c r="BEB2" s="133"/>
      <c r="BEC2" s="133"/>
      <c r="BED2" s="133"/>
      <c r="BEE2" s="133"/>
      <c r="BEF2" s="133"/>
      <c r="BEG2" s="133"/>
      <c r="BEH2" s="133"/>
      <c r="BEI2" s="133"/>
      <c r="BEJ2" s="133"/>
      <c r="BEK2" s="133"/>
      <c r="BEL2" s="133"/>
      <c r="BEM2" s="133"/>
      <c r="BEN2" s="133"/>
      <c r="BEO2" s="133"/>
      <c r="BEP2" s="133"/>
      <c r="BEQ2" s="133"/>
      <c r="BER2" s="133"/>
      <c r="BES2" s="133"/>
      <c r="BET2" s="133"/>
      <c r="BEU2" s="133"/>
      <c r="BEV2" s="133"/>
      <c r="BEW2" s="133"/>
      <c r="BEX2" s="133"/>
      <c r="BEY2" s="133"/>
      <c r="BEZ2" s="133"/>
      <c r="BFA2" s="133"/>
      <c r="BFB2" s="133"/>
      <c r="BFC2" s="133"/>
      <c r="BFD2" s="133"/>
      <c r="BFE2" s="133"/>
      <c r="BFF2" s="133"/>
      <c r="BFG2" s="133"/>
      <c r="BFH2" s="133"/>
      <c r="BFI2" s="133"/>
      <c r="BFJ2" s="133"/>
      <c r="BFK2" s="133"/>
      <c r="BFL2" s="133"/>
      <c r="BFM2" s="133"/>
      <c r="BFN2" s="133"/>
      <c r="BFO2" s="133"/>
      <c r="BFP2" s="133"/>
      <c r="BFQ2" s="133"/>
      <c r="BFR2" s="133"/>
      <c r="BFS2" s="133"/>
      <c r="BFT2" s="133"/>
      <c r="BFU2" s="133"/>
      <c r="BFV2" s="133"/>
      <c r="BFW2" s="133"/>
      <c r="BFX2" s="133"/>
      <c r="BFY2" s="133"/>
      <c r="BFZ2" s="133"/>
      <c r="BGA2" s="133"/>
      <c r="BGB2" s="133"/>
      <c r="BGC2" s="133"/>
      <c r="BGD2" s="133"/>
      <c r="BGE2" s="133"/>
      <c r="BGF2" s="133"/>
      <c r="BGG2" s="133"/>
      <c r="BGH2" s="133"/>
      <c r="BGI2" s="133"/>
      <c r="BGJ2" s="133"/>
      <c r="BGK2" s="133"/>
      <c r="BGL2" s="133"/>
      <c r="BGM2" s="133"/>
      <c r="BGN2" s="133"/>
      <c r="BGO2" s="133"/>
      <c r="BGP2" s="133"/>
      <c r="BGQ2" s="133"/>
      <c r="BGR2" s="133"/>
      <c r="BGS2" s="133"/>
      <c r="BGT2" s="133"/>
      <c r="BGU2" s="133"/>
      <c r="BGV2" s="133"/>
      <c r="BGW2" s="133"/>
      <c r="BGX2" s="133"/>
      <c r="BGY2" s="133"/>
      <c r="BGZ2" s="133"/>
      <c r="BHA2" s="133"/>
      <c r="BHB2" s="133"/>
      <c r="BHC2" s="133"/>
      <c r="BHD2" s="133"/>
      <c r="BHE2" s="133"/>
      <c r="BHF2" s="133"/>
      <c r="BHG2" s="133"/>
      <c r="BHH2" s="133"/>
      <c r="BHI2" s="133"/>
      <c r="BHJ2" s="133"/>
      <c r="BHK2" s="133"/>
      <c r="BHL2" s="133"/>
      <c r="BHM2" s="133"/>
      <c r="BHN2" s="133"/>
      <c r="BHO2" s="133"/>
      <c r="BHP2" s="133"/>
      <c r="BHQ2" s="133"/>
      <c r="BHR2" s="133"/>
      <c r="BHS2" s="133"/>
      <c r="BHT2" s="133"/>
      <c r="BHU2" s="133"/>
      <c r="BHV2" s="133"/>
      <c r="BHW2" s="133"/>
      <c r="BHX2" s="133"/>
      <c r="BHY2" s="133"/>
      <c r="BHZ2" s="133"/>
      <c r="BIA2" s="133"/>
      <c r="BIB2" s="133"/>
      <c r="BIC2" s="133"/>
      <c r="BID2" s="133"/>
      <c r="BIE2" s="133"/>
      <c r="BIF2" s="133"/>
      <c r="BIG2" s="133"/>
      <c r="BIH2" s="133"/>
      <c r="BII2" s="133"/>
      <c r="BIJ2" s="133"/>
      <c r="BIK2" s="133"/>
      <c r="BIL2" s="133"/>
      <c r="BIM2" s="133"/>
      <c r="BIN2" s="133"/>
      <c r="BIO2" s="133"/>
      <c r="BIP2" s="133"/>
      <c r="BIQ2" s="133"/>
      <c r="BIR2" s="133"/>
      <c r="BIS2" s="133"/>
      <c r="BIT2" s="133"/>
      <c r="BIU2" s="133"/>
      <c r="BIV2" s="133"/>
      <c r="BIW2" s="133"/>
      <c r="BIX2" s="133"/>
      <c r="BIY2" s="133"/>
      <c r="BIZ2" s="133"/>
      <c r="BJA2" s="133"/>
      <c r="BJB2" s="133"/>
      <c r="BJC2" s="133"/>
      <c r="BJD2" s="133"/>
      <c r="BJE2" s="133"/>
      <c r="BJF2" s="133"/>
      <c r="BJG2" s="133"/>
      <c r="BJH2" s="133"/>
      <c r="BJI2" s="133"/>
      <c r="BJJ2" s="133"/>
      <c r="BJK2" s="133"/>
      <c r="BJL2" s="133"/>
      <c r="BJM2" s="133"/>
      <c r="BJN2" s="133"/>
      <c r="BJO2" s="133"/>
      <c r="BJP2" s="133"/>
      <c r="BJQ2" s="133"/>
      <c r="BJR2" s="133"/>
      <c r="BJS2" s="133"/>
      <c r="BJT2" s="133"/>
      <c r="BJU2" s="133"/>
      <c r="BJV2" s="133"/>
      <c r="BJW2" s="133"/>
      <c r="BJX2" s="133"/>
      <c r="BJY2" s="133"/>
      <c r="BJZ2" s="133"/>
      <c r="BKA2" s="133"/>
      <c r="BKB2" s="133"/>
      <c r="BKC2" s="133"/>
      <c r="BKD2" s="133"/>
      <c r="BKE2" s="133"/>
      <c r="BKF2" s="133"/>
      <c r="BKG2" s="133"/>
      <c r="BKH2" s="133"/>
      <c r="BKI2" s="133"/>
      <c r="BKJ2" s="133"/>
      <c r="BKK2" s="133"/>
      <c r="BKL2" s="133"/>
      <c r="BKM2" s="133"/>
      <c r="BKN2" s="133"/>
      <c r="BKO2" s="133"/>
      <c r="BKP2" s="133"/>
      <c r="BKQ2" s="133"/>
      <c r="BKR2" s="133"/>
      <c r="BKS2" s="133"/>
      <c r="BKT2" s="133"/>
      <c r="BKU2" s="133"/>
      <c r="BKV2" s="133"/>
      <c r="BKW2" s="133"/>
      <c r="BKX2" s="133"/>
      <c r="BKY2" s="133"/>
      <c r="BKZ2" s="133"/>
      <c r="BLA2" s="133"/>
      <c r="BLB2" s="133"/>
      <c r="BLC2" s="133"/>
      <c r="BLD2" s="133"/>
      <c r="BLE2" s="133"/>
      <c r="BLF2" s="133"/>
      <c r="BLG2" s="133"/>
      <c r="BLH2" s="133"/>
      <c r="BLI2" s="133"/>
      <c r="BLJ2" s="133"/>
      <c r="BLK2" s="133"/>
      <c r="BLL2" s="133"/>
      <c r="BLM2" s="133"/>
      <c r="BLN2" s="133"/>
      <c r="BLO2" s="133"/>
      <c r="BLP2" s="133"/>
      <c r="BLQ2" s="133"/>
      <c r="BLR2" s="133"/>
      <c r="BLS2" s="133"/>
      <c r="BLT2" s="133"/>
      <c r="BLU2" s="133"/>
      <c r="BLV2" s="133"/>
      <c r="BLW2" s="133"/>
      <c r="BLX2" s="133"/>
      <c r="BLY2" s="133"/>
      <c r="BLZ2" s="133"/>
      <c r="BMA2" s="133"/>
      <c r="BMB2" s="133"/>
      <c r="BMC2" s="133"/>
      <c r="BMD2" s="133"/>
      <c r="BME2" s="133"/>
      <c r="BMF2" s="133"/>
      <c r="BMG2" s="133"/>
      <c r="BMH2" s="133"/>
      <c r="BMI2" s="133"/>
      <c r="BMJ2" s="133"/>
      <c r="BMK2" s="133"/>
      <c r="BML2" s="133"/>
      <c r="BMM2" s="133"/>
      <c r="BMN2" s="133"/>
      <c r="BMO2" s="133"/>
      <c r="BMP2" s="133"/>
      <c r="BMQ2" s="133"/>
      <c r="BMR2" s="133"/>
      <c r="BMS2" s="133"/>
      <c r="BMT2" s="133"/>
      <c r="BMU2" s="133"/>
      <c r="BMV2" s="133"/>
      <c r="BMW2" s="133"/>
      <c r="BMX2" s="133"/>
      <c r="BMY2" s="133"/>
      <c r="BMZ2" s="133"/>
      <c r="BNA2" s="133"/>
      <c r="BNB2" s="133"/>
      <c r="BNC2" s="133"/>
      <c r="BND2" s="133"/>
      <c r="BNE2" s="133"/>
      <c r="BNF2" s="133"/>
      <c r="BNG2" s="133"/>
      <c r="BNH2" s="133"/>
      <c r="BNI2" s="133"/>
      <c r="BNJ2" s="133"/>
      <c r="BNK2" s="133"/>
      <c r="BNL2" s="133"/>
      <c r="BNM2" s="133"/>
      <c r="BNN2" s="133"/>
      <c r="BNO2" s="133"/>
      <c r="BNP2" s="133"/>
      <c r="BNQ2" s="133"/>
      <c r="BNR2" s="133"/>
      <c r="BNS2" s="133"/>
      <c r="BNT2" s="133"/>
      <c r="BNU2" s="133"/>
      <c r="BNV2" s="133"/>
      <c r="BNW2" s="133"/>
      <c r="BNX2" s="133"/>
      <c r="BNY2" s="133"/>
      <c r="BNZ2" s="133"/>
      <c r="BOA2" s="133"/>
      <c r="BOB2" s="133"/>
      <c r="BOC2" s="133"/>
      <c r="BOD2" s="133"/>
      <c r="BOE2" s="133"/>
      <c r="BOF2" s="133"/>
      <c r="BOG2" s="133"/>
      <c r="BOH2" s="133"/>
      <c r="BOI2" s="133"/>
      <c r="BOJ2" s="133"/>
      <c r="BOK2" s="133"/>
      <c r="BOL2" s="133"/>
      <c r="BOM2" s="133"/>
      <c r="BON2" s="133"/>
      <c r="BOO2" s="133"/>
      <c r="BOP2" s="133"/>
      <c r="BOQ2" s="133"/>
      <c r="BOR2" s="133"/>
      <c r="BOS2" s="133"/>
      <c r="BOT2" s="133"/>
      <c r="BOU2" s="133"/>
      <c r="BOV2" s="133"/>
      <c r="BOW2" s="133"/>
      <c r="BOX2" s="133"/>
      <c r="BOY2" s="133"/>
      <c r="BOZ2" s="133"/>
      <c r="BPA2" s="133"/>
      <c r="BPB2" s="133"/>
      <c r="BPC2" s="133"/>
      <c r="BPD2" s="133"/>
      <c r="BPE2" s="133"/>
      <c r="BPF2" s="133"/>
      <c r="BPG2" s="133"/>
      <c r="BPH2" s="133"/>
      <c r="BPI2" s="133"/>
      <c r="BPJ2" s="133"/>
      <c r="BPK2" s="133"/>
      <c r="BPL2" s="133"/>
      <c r="BPM2" s="133"/>
      <c r="BPN2" s="133"/>
      <c r="BPO2" s="133"/>
      <c r="BPP2" s="133"/>
      <c r="BPQ2" s="133"/>
      <c r="BPR2" s="133"/>
      <c r="BPS2" s="133"/>
      <c r="BPT2" s="133"/>
      <c r="BPU2" s="133"/>
      <c r="BPV2" s="133"/>
      <c r="BPW2" s="133"/>
      <c r="BPX2" s="133"/>
      <c r="BPY2" s="133"/>
      <c r="BPZ2" s="133"/>
      <c r="BQA2" s="133"/>
      <c r="BQB2" s="133"/>
      <c r="BQC2" s="133"/>
      <c r="BQD2" s="133"/>
      <c r="BQE2" s="133"/>
      <c r="BQF2" s="133"/>
      <c r="BQG2" s="133"/>
      <c r="BQH2" s="133"/>
      <c r="BQI2" s="133"/>
      <c r="BQJ2" s="133"/>
      <c r="BQK2" s="133"/>
      <c r="BQL2" s="133"/>
      <c r="BQM2" s="133"/>
      <c r="BQN2" s="133"/>
      <c r="BQO2" s="133"/>
      <c r="BQP2" s="133"/>
      <c r="BQQ2" s="133"/>
      <c r="BQR2" s="133"/>
      <c r="BQS2" s="133"/>
      <c r="BQT2" s="133"/>
      <c r="BQU2" s="133"/>
      <c r="BQV2" s="133"/>
      <c r="BQW2" s="133"/>
      <c r="BQX2" s="133"/>
      <c r="BQY2" s="133"/>
      <c r="BQZ2" s="133"/>
      <c r="BRA2" s="133"/>
      <c r="BRB2" s="133"/>
      <c r="BRC2" s="133"/>
      <c r="BRD2" s="133"/>
      <c r="BRE2" s="133"/>
      <c r="BRF2" s="133"/>
      <c r="BRG2" s="133"/>
      <c r="BRH2" s="133"/>
      <c r="BRI2" s="133"/>
      <c r="BRJ2" s="133"/>
      <c r="BRK2" s="133"/>
      <c r="BRL2" s="133"/>
      <c r="BRM2" s="133"/>
      <c r="BRN2" s="133"/>
      <c r="BRO2" s="133"/>
      <c r="BRP2" s="133"/>
      <c r="BRQ2" s="133"/>
      <c r="BRR2" s="133"/>
      <c r="BRS2" s="133"/>
      <c r="BRT2" s="133"/>
      <c r="BRU2" s="133"/>
      <c r="BRV2" s="133"/>
      <c r="BRW2" s="133"/>
      <c r="BRX2" s="133"/>
      <c r="BRY2" s="133"/>
      <c r="BRZ2" s="133"/>
      <c r="BSA2" s="133"/>
      <c r="BSB2" s="133"/>
      <c r="BSC2" s="133"/>
      <c r="BSD2" s="133"/>
      <c r="BSE2" s="133"/>
      <c r="BSF2" s="133"/>
      <c r="BSG2" s="133"/>
      <c r="BSH2" s="133"/>
      <c r="BSI2" s="133"/>
      <c r="BSJ2" s="133"/>
      <c r="BSK2" s="133"/>
      <c r="BSL2" s="133"/>
      <c r="BSM2" s="133"/>
      <c r="BSN2" s="133"/>
      <c r="BSO2" s="133"/>
      <c r="BSP2" s="133"/>
      <c r="BSQ2" s="133"/>
      <c r="BSR2" s="133"/>
      <c r="BSS2" s="133"/>
      <c r="BST2" s="133"/>
      <c r="BSU2" s="133"/>
      <c r="BSV2" s="133"/>
      <c r="BSW2" s="133"/>
      <c r="BSX2" s="133"/>
      <c r="BSY2" s="133"/>
      <c r="BSZ2" s="133"/>
      <c r="BTA2" s="133"/>
      <c r="BTB2" s="133"/>
      <c r="BTC2" s="133"/>
      <c r="BTD2" s="133"/>
      <c r="BTE2" s="133"/>
      <c r="BTF2" s="133"/>
      <c r="BTG2" s="133"/>
      <c r="BTH2" s="133"/>
      <c r="BTI2" s="133"/>
      <c r="BTJ2" s="133"/>
      <c r="BTK2" s="133"/>
      <c r="BTL2" s="133"/>
      <c r="BTM2" s="133"/>
      <c r="BTN2" s="133"/>
      <c r="BTO2" s="133"/>
      <c r="BTP2" s="133"/>
      <c r="BTQ2" s="133"/>
      <c r="BTR2" s="133"/>
      <c r="BTS2" s="133"/>
      <c r="BTT2" s="133"/>
      <c r="BTU2" s="133"/>
      <c r="BTV2" s="133"/>
      <c r="BTW2" s="133"/>
      <c r="BTX2" s="133"/>
      <c r="BTY2" s="133"/>
      <c r="BTZ2" s="133"/>
      <c r="BUA2" s="133"/>
      <c r="BUB2" s="133"/>
      <c r="BUC2" s="133"/>
      <c r="BUD2" s="133"/>
      <c r="BUE2" s="133"/>
      <c r="BUF2" s="133"/>
      <c r="BUG2" s="133"/>
      <c r="BUH2" s="133"/>
      <c r="BUI2" s="133"/>
      <c r="BUJ2" s="133"/>
      <c r="BUK2" s="133"/>
      <c r="BUL2" s="133"/>
      <c r="BUM2" s="133"/>
      <c r="BUN2" s="133"/>
      <c r="BUO2" s="133"/>
      <c r="BUP2" s="133"/>
      <c r="BUQ2" s="133"/>
      <c r="BUR2" s="133"/>
      <c r="BUS2" s="133"/>
      <c r="BUT2" s="133"/>
      <c r="BUU2" s="133"/>
      <c r="BUV2" s="133"/>
      <c r="BUW2" s="133"/>
      <c r="BUX2" s="133"/>
      <c r="BUY2" s="133"/>
      <c r="BUZ2" s="133"/>
      <c r="BVA2" s="133"/>
      <c r="BVB2" s="133"/>
      <c r="BVC2" s="133"/>
      <c r="BVD2" s="133"/>
      <c r="BVE2" s="133"/>
      <c r="BVF2" s="133"/>
      <c r="BVG2" s="133"/>
      <c r="BVH2" s="133"/>
      <c r="BVI2" s="133"/>
      <c r="BVJ2" s="133"/>
      <c r="BVK2" s="133"/>
      <c r="BVL2" s="133"/>
      <c r="BVM2" s="133"/>
      <c r="BVN2" s="133"/>
      <c r="BVO2" s="133"/>
      <c r="BVP2" s="133"/>
      <c r="BVQ2" s="133"/>
      <c r="BVR2" s="133"/>
      <c r="BVS2" s="133"/>
      <c r="BVT2" s="133"/>
      <c r="BVU2" s="133"/>
      <c r="BVV2" s="133"/>
      <c r="BVW2" s="133"/>
      <c r="BVX2" s="133"/>
      <c r="BVY2" s="133"/>
      <c r="BVZ2" s="133"/>
      <c r="BWA2" s="133"/>
      <c r="BWB2" s="133"/>
      <c r="BWC2" s="133"/>
      <c r="BWD2" s="133"/>
      <c r="BWE2" s="133"/>
      <c r="BWF2" s="133"/>
      <c r="BWG2" s="133"/>
      <c r="BWH2" s="133"/>
      <c r="BWI2" s="133"/>
      <c r="BWJ2" s="133"/>
      <c r="BWK2" s="133"/>
      <c r="BWL2" s="133"/>
      <c r="BWM2" s="133"/>
      <c r="BWN2" s="133"/>
      <c r="BWO2" s="133"/>
      <c r="BWP2" s="133"/>
      <c r="BWQ2" s="133"/>
      <c r="BWR2" s="133"/>
      <c r="BWS2" s="133"/>
      <c r="BWT2" s="133"/>
      <c r="BWU2" s="133"/>
      <c r="BWV2" s="133"/>
      <c r="BWW2" s="133"/>
      <c r="BWX2" s="133"/>
      <c r="BWY2" s="133"/>
      <c r="BWZ2" s="133"/>
      <c r="BXA2" s="133"/>
      <c r="BXB2" s="133"/>
      <c r="BXC2" s="133"/>
      <c r="BXD2" s="133"/>
      <c r="BXE2" s="133"/>
      <c r="BXF2" s="133"/>
      <c r="BXG2" s="133"/>
      <c r="BXH2" s="133"/>
      <c r="BXI2" s="133"/>
      <c r="BXJ2" s="133"/>
      <c r="BXK2" s="133"/>
      <c r="BXL2" s="133"/>
      <c r="BXM2" s="133"/>
      <c r="BXN2" s="133"/>
      <c r="BXO2" s="133"/>
      <c r="BXP2" s="133"/>
      <c r="BXQ2" s="133"/>
      <c r="BXR2" s="133"/>
      <c r="BXS2" s="133"/>
      <c r="BXT2" s="133"/>
      <c r="BXU2" s="133"/>
      <c r="BXV2" s="133"/>
      <c r="BXW2" s="133"/>
      <c r="BXX2" s="133"/>
      <c r="BXY2" s="133"/>
      <c r="BXZ2" s="133"/>
      <c r="BYA2" s="133"/>
      <c r="BYB2" s="133"/>
      <c r="BYC2" s="133"/>
      <c r="BYD2" s="133"/>
      <c r="BYE2" s="133"/>
      <c r="BYF2" s="133"/>
      <c r="BYG2" s="133"/>
      <c r="BYH2" s="133"/>
      <c r="BYI2" s="133"/>
      <c r="BYJ2" s="133"/>
      <c r="BYK2" s="133"/>
      <c r="BYL2" s="133"/>
      <c r="BYM2" s="133"/>
      <c r="BYN2" s="133"/>
      <c r="BYO2" s="133"/>
      <c r="BYP2" s="133"/>
      <c r="BYQ2" s="133"/>
      <c r="BYR2" s="133"/>
      <c r="BYS2" s="133"/>
      <c r="BYT2" s="133"/>
      <c r="BYU2" s="133"/>
      <c r="BYV2" s="133"/>
      <c r="BYW2" s="133"/>
      <c r="BYX2" s="133"/>
      <c r="BYY2" s="133"/>
      <c r="BYZ2" s="133"/>
      <c r="BZA2" s="133"/>
      <c r="BZB2" s="133"/>
      <c r="BZC2" s="133"/>
      <c r="BZD2" s="133"/>
      <c r="BZE2" s="133"/>
      <c r="BZF2" s="133"/>
      <c r="BZG2" s="133"/>
      <c r="BZH2" s="133"/>
      <c r="BZI2" s="133"/>
      <c r="BZJ2" s="133"/>
      <c r="BZK2" s="133"/>
      <c r="BZL2" s="133"/>
      <c r="BZM2" s="133"/>
      <c r="BZN2" s="133"/>
      <c r="BZO2" s="133"/>
      <c r="BZP2" s="133"/>
      <c r="BZQ2" s="133"/>
      <c r="BZR2" s="133"/>
      <c r="BZS2" s="133"/>
      <c r="BZT2" s="133"/>
      <c r="BZU2" s="133"/>
      <c r="BZV2" s="133"/>
      <c r="BZW2" s="133"/>
      <c r="BZX2" s="133"/>
      <c r="BZY2" s="133"/>
      <c r="BZZ2" s="133"/>
      <c r="CAA2" s="133"/>
      <c r="CAB2" s="133"/>
      <c r="CAC2" s="133"/>
      <c r="CAD2" s="133"/>
      <c r="CAE2" s="133"/>
      <c r="CAF2" s="133"/>
      <c r="CAG2" s="133"/>
      <c r="CAH2" s="133"/>
      <c r="CAI2" s="133"/>
      <c r="CAJ2" s="133"/>
      <c r="CAK2" s="133"/>
      <c r="CAL2" s="133"/>
      <c r="CAM2" s="133"/>
      <c r="CAN2" s="133"/>
      <c r="CAO2" s="133"/>
      <c r="CAP2" s="133"/>
      <c r="CAQ2" s="133"/>
      <c r="CAR2" s="133"/>
      <c r="CAS2" s="133"/>
      <c r="CAT2" s="133"/>
      <c r="CAU2" s="133"/>
      <c r="CAV2" s="133"/>
      <c r="CAW2" s="133"/>
      <c r="CAX2" s="133"/>
      <c r="CAY2" s="133"/>
      <c r="CAZ2" s="133"/>
      <c r="CBA2" s="133"/>
      <c r="CBB2" s="133"/>
      <c r="CBC2" s="133"/>
      <c r="CBD2" s="133"/>
      <c r="CBE2" s="133"/>
      <c r="CBF2" s="133"/>
      <c r="CBG2" s="133"/>
      <c r="CBH2" s="133"/>
      <c r="CBI2" s="133"/>
      <c r="CBJ2" s="133"/>
      <c r="CBK2" s="133"/>
      <c r="CBL2" s="133"/>
      <c r="CBM2" s="133"/>
      <c r="CBN2" s="133"/>
      <c r="CBO2" s="133"/>
      <c r="CBP2" s="133"/>
      <c r="CBQ2" s="133"/>
      <c r="CBR2" s="133"/>
      <c r="CBS2" s="133"/>
      <c r="CBT2" s="133"/>
      <c r="CBU2" s="133"/>
      <c r="CBV2" s="133"/>
      <c r="CBW2" s="133"/>
      <c r="CBX2" s="133"/>
      <c r="CBY2" s="133"/>
      <c r="CBZ2" s="133"/>
      <c r="CCA2" s="133"/>
      <c r="CCB2" s="133"/>
      <c r="CCC2" s="133"/>
      <c r="CCD2" s="133"/>
      <c r="CCE2" s="133"/>
      <c r="CCF2" s="133"/>
      <c r="CCG2" s="133"/>
      <c r="CCH2" s="133"/>
      <c r="CCI2" s="133"/>
      <c r="CCJ2" s="133"/>
      <c r="CCK2" s="133"/>
      <c r="CCL2" s="133"/>
      <c r="CCM2" s="133"/>
      <c r="CCN2" s="133"/>
      <c r="CCO2" s="133"/>
      <c r="CCP2" s="133"/>
      <c r="CCQ2" s="133"/>
      <c r="CCR2" s="133"/>
      <c r="CCS2" s="133"/>
      <c r="CCT2" s="133"/>
      <c r="CCU2" s="133"/>
      <c r="CCV2" s="133"/>
      <c r="CCW2" s="133"/>
      <c r="CCX2" s="133"/>
      <c r="CCY2" s="133"/>
      <c r="CCZ2" s="133"/>
      <c r="CDA2" s="133"/>
      <c r="CDB2" s="133"/>
      <c r="CDC2" s="133"/>
      <c r="CDD2" s="133"/>
      <c r="CDE2" s="133"/>
      <c r="CDF2" s="133"/>
      <c r="CDG2" s="133"/>
      <c r="CDH2" s="133"/>
      <c r="CDI2" s="133"/>
      <c r="CDJ2" s="133"/>
      <c r="CDK2" s="133"/>
      <c r="CDL2" s="133"/>
      <c r="CDM2" s="133"/>
      <c r="CDN2" s="133"/>
      <c r="CDO2" s="133"/>
      <c r="CDP2" s="133"/>
      <c r="CDQ2" s="133"/>
      <c r="CDR2" s="133"/>
      <c r="CDS2" s="133"/>
      <c r="CDT2" s="133"/>
      <c r="CDU2" s="133"/>
      <c r="CDV2" s="133"/>
      <c r="CDW2" s="133"/>
      <c r="CDX2" s="133"/>
      <c r="CDY2" s="133"/>
      <c r="CDZ2" s="133"/>
      <c r="CEA2" s="133"/>
      <c r="CEB2" s="133"/>
      <c r="CEC2" s="133"/>
      <c r="CED2" s="133"/>
      <c r="CEE2" s="133"/>
      <c r="CEF2" s="133"/>
      <c r="CEG2" s="133"/>
      <c r="CEH2" s="133"/>
      <c r="CEI2" s="133"/>
      <c r="CEJ2" s="133"/>
      <c r="CEK2" s="133"/>
      <c r="CEL2" s="133"/>
      <c r="CEM2" s="133"/>
      <c r="CEN2" s="133"/>
      <c r="CEO2" s="133"/>
      <c r="CEP2" s="133"/>
      <c r="CEQ2" s="133"/>
      <c r="CER2" s="133"/>
      <c r="CES2" s="133"/>
      <c r="CET2" s="133"/>
      <c r="CEU2" s="133"/>
      <c r="CEV2" s="133"/>
      <c r="CEW2" s="133"/>
      <c r="CEX2" s="133"/>
      <c r="CEY2" s="133"/>
      <c r="CEZ2" s="133"/>
      <c r="CFA2" s="133"/>
      <c r="CFB2" s="133"/>
      <c r="CFC2" s="133"/>
      <c r="CFD2" s="133"/>
      <c r="CFE2" s="133"/>
      <c r="CFF2" s="133"/>
      <c r="CFG2" s="133"/>
      <c r="CFH2" s="133"/>
      <c r="CFI2" s="133"/>
      <c r="CFJ2" s="133"/>
      <c r="CFK2" s="133"/>
      <c r="CFL2" s="133"/>
      <c r="CFM2" s="133"/>
      <c r="CFN2" s="133"/>
      <c r="CFO2" s="133"/>
      <c r="CFP2" s="133"/>
      <c r="CFQ2" s="133"/>
      <c r="CFR2" s="133"/>
      <c r="CFS2" s="133"/>
      <c r="CFT2" s="133"/>
      <c r="CFU2" s="133"/>
      <c r="CFV2" s="133"/>
      <c r="CFW2" s="133"/>
      <c r="CFX2" s="133"/>
      <c r="CFY2" s="133"/>
      <c r="CFZ2" s="133"/>
      <c r="CGA2" s="133"/>
      <c r="CGB2" s="133"/>
      <c r="CGC2" s="133"/>
      <c r="CGD2" s="133"/>
      <c r="CGE2" s="133"/>
      <c r="CGF2" s="133"/>
      <c r="CGG2" s="133"/>
      <c r="CGH2" s="133"/>
      <c r="CGI2" s="133"/>
      <c r="CGJ2" s="133"/>
      <c r="CGK2" s="133"/>
      <c r="CGL2" s="133"/>
      <c r="CGM2" s="133"/>
      <c r="CGN2" s="133"/>
      <c r="CGO2" s="133"/>
      <c r="CGP2" s="133"/>
      <c r="CGQ2" s="133"/>
      <c r="CGR2" s="133"/>
      <c r="CGS2" s="133"/>
      <c r="CGT2" s="133"/>
      <c r="CGU2" s="133"/>
      <c r="CGV2" s="133"/>
      <c r="CGW2" s="133"/>
      <c r="CGX2" s="133"/>
      <c r="CGY2" s="133"/>
      <c r="CGZ2" s="133"/>
      <c r="CHA2" s="133"/>
      <c r="CHB2" s="133"/>
      <c r="CHC2" s="133"/>
      <c r="CHD2" s="133"/>
      <c r="CHE2" s="133"/>
      <c r="CHF2" s="133"/>
      <c r="CHG2" s="133"/>
      <c r="CHH2" s="133"/>
      <c r="CHI2" s="133"/>
      <c r="CHJ2" s="133"/>
      <c r="CHK2" s="133"/>
      <c r="CHL2" s="133"/>
      <c r="CHM2" s="133"/>
      <c r="CHN2" s="133"/>
      <c r="CHO2" s="133"/>
      <c r="CHP2" s="133"/>
      <c r="CHQ2" s="133"/>
      <c r="CHR2" s="133"/>
      <c r="CHS2" s="133"/>
      <c r="CHT2" s="133"/>
      <c r="CHU2" s="133"/>
      <c r="CHV2" s="133"/>
      <c r="CHW2" s="133"/>
      <c r="CHX2" s="133"/>
      <c r="CHY2" s="133"/>
      <c r="CHZ2" s="133"/>
      <c r="CIA2" s="133"/>
      <c r="CIB2" s="133"/>
      <c r="CIC2" s="133"/>
      <c r="CID2" s="133"/>
      <c r="CIE2" s="133"/>
      <c r="CIF2" s="133"/>
      <c r="CIG2" s="133"/>
      <c r="CIH2" s="133"/>
      <c r="CII2" s="133"/>
      <c r="CIJ2" s="133"/>
      <c r="CIK2" s="133"/>
      <c r="CIL2" s="133"/>
      <c r="CIM2" s="133"/>
      <c r="CIN2" s="133"/>
      <c r="CIO2" s="133"/>
      <c r="CIP2" s="133"/>
      <c r="CIQ2" s="133"/>
      <c r="CIR2" s="133"/>
      <c r="CIS2" s="133"/>
      <c r="CIT2" s="133"/>
      <c r="CIU2" s="133"/>
      <c r="CIV2" s="133"/>
      <c r="CIW2" s="133"/>
      <c r="CIX2" s="133"/>
      <c r="CIY2" s="133"/>
      <c r="CIZ2" s="133"/>
      <c r="CJA2" s="133"/>
      <c r="CJB2" s="133"/>
      <c r="CJC2" s="133"/>
      <c r="CJD2" s="133"/>
      <c r="CJE2" s="133"/>
      <c r="CJF2" s="133"/>
      <c r="CJG2" s="133"/>
      <c r="CJH2" s="133"/>
      <c r="CJI2" s="133"/>
      <c r="CJJ2" s="133"/>
      <c r="CJK2" s="133"/>
      <c r="CJL2" s="133"/>
      <c r="CJM2" s="133"/>
      <c r="CJN2" s="133"/>
      <c r="CJO2" s="133"/>
      <c r="CJP2" s="133"/>
      <c r="CJQ2" s="133"/>
      <c r="CJR2" s="133"/>
      <c r="CJS2" s="133"/>
      <c r="CJT2" s="133"/>
      <c r="CJU2" s="133"/>
      <c r="CJV2" s="133"/>
      <c r="CJW2" s="133"/>
      <c r="CJX2" s="133"/>
      <c r="CJY2" s="133"/>
      <c r="CJZ2" s="133"/>
      <c r="CKA2" s="133"/>
      <c r="CKB2" s="133"/>
      <c r="CKC2" s="133"/>
      <c r="CKD2" s="133"/>
      <c r="CKE2" s="133"/>
      <c r="CKF2" s="133"/>
      <c r="CKG2" s="133"/>
      <c r="CKH2" s="133"/>
      <c r="CKI2" s="133"/>
      <c r="CKJ2" s="133"/>
      <c r="CKK2" s="133"/>
      <c r="CKL2" s="133"/>
      <c r="CKM2" s="133"/>
      <c r="CKN2" s="133"/>
      <c r="CKO2" s="133"/>
      <c r="CKP2" s="133"/>
      <c r="CKQ2" s="133"/>
      <c r="CKR2" s="133"/>
      <c r="CKS2" s="133"/>
      <c r="CKT2" s="133"/>
      <c r="CKU2" s="133"/>
      <c r="CKV2" s="133"/>
      <c r="CKW2" s="133"/>
      <c r="CKX2" s="133"/>
      <c r="CKY2" s="133"/>
      <c r="CKZ2" s="133"/>
      <c r="CLA2" s="133"/>
      <c r="CLB2" s="133"/>
      <c r="CLC2" s="133"/>
      <c r="CLD2" s="133"/>
      <c r="CLE2" s="133"/>
      <c r="CLF2" s="133"/>
      <c r="CLG2" s="133"/>
      <c r="CLH2" s="133"/>
      <c r="CLI2" s="133"/>
      <c r="CLJ2" s="133"/>
      <c r="CLK2" s="133"/>
      <c r="CLL2" s="133"/>
      <c r="CLM2" s="133"/>
      <c r="CLN2" s="133"/>
      <c r="CLO2" s="133"/>
      <c r="CLP2" s="133"/>
      <c r="CLQ2" s="133"/>
      <c r="CLR2" s="133"/>
      <c r="CLS2" s="133"/>
      <c r="CLT2" s="133"/>
      <c r="CLU2" s="133"/>
      <c r="CLV2" s="133"/>
      <c r="CLW2" s="133"/>
      <c r="CLX2" s="133"/>
      <c r="CLY2" s="133"/>
      <c r="CLZ2" s="133"/>
      <c r="CMA2" s="133"/>
      <c r="CMB2" s="133"/>
      <c r="CMC2" s="133"/>
      <c r="CMD2" s="133"/>
      <c r="CME2" s="133"/>
      <c r="CMF2" s="133"/>
      <c r="CMG2" s="133"/>
      <c r="CMH2" s="133"/>
      <c r="CMI2" s="133"/>
      <c r="CMJ2" s="133"/>
      <c r="CMK2" s="133"/>
      <c r="CML2" s="133"/>
      <c r="CMM2" s="133"/>
      <c r="CMN2" s="133"/>
      <c r="CMO2" s="133"/>
      <c r="CMP2" s="133"/>
      <c r="CMQ2" s="133"/>
      <c r="CMR2" s="133"/>
      <c r="CMS2" s="133"/>
      <c r="CMT2" s="133"/>
      <c r="CMU2" s="133"/>
      <c r="CMV2" s="133"/>
      <c r="CMW2" s="133"/>
      <c r="CMX2" s="133"/>
      <c r="CMY2" s="133"/>
      <c r="CMZ2" s="133"/>
      <c r="CNA2" s="133"/>
      <c r="CNB2" s="133"/>
      <c r="CNC2" s="133"/>
      <c r="CND2" s="133"/>
      <c r="CNE2" s="133"/>
      <c r="CNF2" s="133"/>
      <c r="CNG2" s="133"/>
      <c r="CNH2" s="133"/>
      <c r="CNI2" s="133"/>
      <c r="CNJ2" s="133"/>
      <c r="CNK2" s="133"/>
      <c r="CNL2" s="133"/>
      <c r="CNM2" s="133"/>
      <c r="CNN2" s="133"/>
      <c r="CNO2" s="133"/>
      <c r="CNP2" s="133"/>
      <c r="CNQ2" s="133"/>
      <c r="CNR2" s="133"/>
      <c r="CNS2" s="133"/>
      <c r="CNT2" s="133"/>
      <c r="CNU2" s="133"/>
      <c r="CNV2" s="133"/>
      <c r="CNW2" s="133"/>
      <c r="CNX2" s="133"/>
      <c r="CNY2" s="133"/>
      <c r="CNZ2" s="133"/>
      <c r="COA2" s="133"/>
      <c r="COB2" s="133"/>
      <c r="COC2" s="133"/>
      <c r="COD2" s="133"/>
      <c r="COE2" s="133"/>
      <c r="COF2" s="133"/>
      <c r="COG2" s="133"/>
      <c r="COH2" s="133"/>
      <c r="COI2" s="133"/>
      <c r="COJ2" s="133"/>
      <c r="COK2" s="133"/>
      <c r="COL2" s="133"/>
      <c r="COM2" s="133"/>
      <c r="CON2" s="133"/>
      <c r="COO2" s="133"/>
      <c r="COP2" s="133"/>
      <c r="COQ2" s="133"/>
      <c r="COR2" s="133"/>
      <c r="COS2" s="133"/>
      <c r="COT2" s="133"/>
      <c r="COU2" s="133"/>
      <c r="COV2" s="133"/>
      <c r="COW2" s="133"/>
      <c r="COX2" s="133"/>
      <c r="COY2" s="133"/>
      <c r="COZ2" s="133"/>
      <c r="CPA2" s="133"/>
      <c r="CPB2" s="133"/>
      <c r="CPC2" s="133"/>
      <c r="CPD2" s="133"/>
      <c r="CPE2" s="133"/>
      <c r="CPF2" s="133"/>
      <c r="CPG2" s="133"/>
      <c r="CPH2" s="133"/>
      <c r="CPI2" s="133"/>
      <c r="CPJ2" s="133"/>
      <c r="CPK2" s="133"/>
      <c r="CPL2" s="133"/>
      <c r="CPM2" s="133"/>
      <c r="CPN2" s="133"/>
      <c r="CPO2" s="133"/>
      <c r="CPP2" s="133"/>
      <c r="CPQ2" s="133"/>
      <c r="CPR2" s="133"/>
      <c r="CPS2" s="133"/>
      <c r="CPT2" s="133"/>
      <c r="CPU2" s="133"/>
      <c r="CPV2" s="133"/>
      <c r="CPW2" s="133"/>
      <c r="CPX2" s="133"/>
      <c r="CPY2" s="133"/>
      <c r="CPZ2" s="133"/>
      <c r="CQA2" s="133"/>
      <c r="CQB2" s="133"/>
      <c r="CQC2" s="133"/>
      <c r="CQD2" s="133"/>
      <c r="CQE2" s="133"/>
      <c r="CQF2" s="133"/>
      <c r="CQG2" s="133"/>
      <c r="CQH2" s="133"/>
      <c r="CQI2" s="133"/>
      <c r="CQJ2" s="133"/>
      <c r="CQK2" s="133"/>
      <c r="CQL2" s="133"/>
      <c r="CQM2" s="133"/>
      <c r="CQN2" s="133"/>
      <c r="CQO2" s="133"/>
      <c r="CQP2" s="133"/>
      <c r="CQQ2" s="133"/>
      <c r="CQR2" s="133"/>
      <c r="CQS2" s="133"/>
      <c r="CQT2" s="133"/>
      <c r="CQU2" s="133"/>
      <c r="CQV2" s="133"/>
      <c r="CQW2" s="133"/>
      <c r="CQX2" s="133"/>
      <c r="CQY2" s="133"/>
      <c r="CQZ2" s="133"/>
      <c r="CRA2" s="133"/>
      <c r="CRB2" s="133"/>
      <c r="CRC2" s="133"/>
      <c r="CRD2" s="133"/>
      <c r="CRE2" s="133"/>
      <c r="CRF2" s="133"/>
      <c r="CRG2" s="133"/>
      <c r="CRH2" s="133"/>
      <c r="CRI2" s="133"/>
      <c r="CRJ2" s="133"/>
      <c r="CRK2" s="133"/>
      <c r="CRL2" s="133"/>
      <c r="CRM2" s="133"/>
      <c r="CRN2" s="133"/>
      <c r="CRO2" s="133"/>
      <c r="CRP2" s="133"/>
      <c r="CRQ2" s="133"/>
      <c r="CRR2" s="133"/>
      <c r="CRS2" s="133"/>
      <c r="CRT2" s="133"/>
      <c r="CRU2" s="133"/>
      <c r="CRV2" s="133"/>
      <c r="CRW2" s="133"/>
      <c r="CRX2" s="133"/>
      <c r="CRY2" s="133"/>
      <c r="CRZ2" s="133"/>
      <c r="CSA2" s="133"/>
      <c r="CSB2" s="133"/>
      <c r="CSC2" s="133"/>
      <c r="CSD2" s="133"/>
      <c r="CSE2" s="133"/>
      <c r="CSF2" s="133"/>
      <c r="CSG2" s="133"/>
      <c r="CSH2" s="133"/>
      <c r="CSI2" s="133"/>
      <c r="CSJ2" s="133"/>
      <c r="CSK2" s="133"/>
      <c r="CSL2" s="133"/>
      <c r="CSM2" s="133"/>
      <c r="CSN2" s="133"/>
      <c r="CSO2" s="133"/>
      <c r="CSP2" s="133"/>
      <c r="CSQ2" s="133"/>
      <c r="CSR2" s="133"/>
      <c r="CSS2" s="133"/>
      <c r="CST2" s="133"/>
      <c r="CSU2" s="133"/>
      <c r="CSV2" s="133"/>
      <c r="CSW2" s="133"/>
      <c r="CSX2" s="133"/>
      <c r="CSY2" s="133"/>
      <c r="CSZ2" s="133"/>
      <c r="CTA2" s="133"/>
      <c r="CTB2" s="133"/>
      <c r="CTC2" s="133"/>
      <c r="CTD2" s="133"/>
      <c r="CTE2" s="133"/>
      <c r="CTF2" s="133"/>
      <c r="CTG2" s="133"/>
      <c r="CTH2" s="133"/>
      <c r="CTI2" s="133"/>
      <c r="CTJ2" s="133"/>
      <c r="CTK2" s="133"/>
      <c r="CTL2" s="133"/>
      <c r="CTM2" s="133"/>
      <c r="CTN2" s="133"/>
      <c r="CTO2" s="133"/>
      <c r="CTP2" s="133"/>
      <c r="CTQ2" s="133"/>
      <c r="CTR2" s="133"/>
      <c r="CTS2" s="133"/>
      <c r="CTT2" s="133"/>
      <c r="CTU2" s="133"/>
      <c r="CTV2" s="133"/>
      <c r="CTW2" s="133"/>
      <c r="CTX2" s="133"/>
      <c r="CTY2" s="133"/>
      <c r="CTZ2" s="133"/>
      <c r="CUA2" s="133"/>
      <c r="CUB2" s="133"/>
      <c r="CUC2" s="133"/>
      <c r="CUD2" s="133"/>
      <c r="CUE2" s="133"/>
      <c r="CUF2" s="133"/>
      <c r="CUG2" s="133"/>
      <c r="CUH2" s="133"/>
      <c r="CUI2" s="133"/>
      <c r="CUJ2" s="133"/>
      <c r="CUK2" s="133"/>
      <c r="CUL2" s="133"/>
      <c r="CUM2" s="133"/>
      <c r="CUN2" s="133"/>
      <c r="CUO2" s="133"/>
      <c r="CUP2" s="133"/>
      <c r="CUQ2" s="133"/>
      <c r="CUR2" s="133"/>
      <c r="CUS2" s="133"/>
      <c r="CUT2" s="133"/>
      <c r="CUU2" s="133"/>
      <c r="CUV2" s="133"/>
      <c r="CUW2" s="133"/>
      <c r="CUX2" s="133"/>
      <c r="CUY2" s="133"/>
      <c r="CUZ2" s="133"/>
      <c r="CVA2" s="133"/>
      <c r="CVB2" s="133"/>
      <c r="CVC2" s="133"/>
      <c r="CVD2" s="133"/>
      <c r="CVE2" s="133"/>
      <c r="CVF2" s="133"/>
      <c r="CVG2" s="133"/>
      <c r="CVH2" s="133"/>
      <c r="CVI2" s="133"/>
      <c r="CVJ2" s="133"/>
      <c r="CVK2" s="133"/>
      <c r="CVL2" s="133"/>
      <c r="CVM2" s="133"/>
      <c r="CVN2" s="133"/>
      <c r="CVO2" s="133"/>
      <c r="CVP2" s="133"/>
      <c r="CVQ2" s="133"/>
      <c r="CVR2" s="133"/>
      <c r="CVS2" s="133"/>
      <c r="CVT2" s="133"/>
      <c r="CVU2" s="133"/>
      <c r="CVV2" s="133"/>
      <c r="CVW2" s="133"/>
      <c r="CVX2" s="133"/>
      <c r="CVY2" s="133"/>
      <c r="CVZ2" s="133"/>
      <c r="CWA2" s="133"/>
      <c r="CWB2" s="133"/>
      <c r="CWC2" s="133"/>
      <c r="CWD2" s="133"/>
      <c r="CWE2" s="133"/>
      <c r="CWF2" s="133"/>
      <c r="CWG2" s="133"/>
      <c r="CWH2" s="133"/>
      <c r="CWI2" s="133"/>
      <c r="CWJ2" s="133"/>
      <c r="CWK2" s="133"/>
      <c r="CWL2" s="133"/>
      <c r="CWM2" s="133"/>
      <c r="CWN2" s="133"/>
      <c r="CWO2" s="133"/>
      <c r="CWP2" s="133"/>
      <c r="CWQ2" s="133"/>
      <c r="CWR2" s="133"/>
      <c r="CWS2" s="133"/>
      <c r="CWT2" s="133"/>
      <c r="CWU2" s="133"/>
      <c r="CWV2" s="133"/>
      <c r="CWW2" s="133"/>
      <c r="CWX2" s="133"/>
      <c r="CWY2" s="133"/>
      <c r="CWZ2" s="133"/>
      <c r="CXA2" s="133"/>
      <c r="CXB2" s="133"/>
      <c r="CXC2" s="133"/>
      <c r="CXD2" s="133"/>
      <c r="CXE2" s="133"/>
      <c r="CXF2" s="133"/>
      <c r="CXG2" s="133"/>
      <c r="CXH2" s="133"/>
      <c r="CXI2" s="133"/>
      <c r="CXJ2" s="133"/>
      <c r="CXK2" s="133"/>
      <c r="CXL2" s="133"/>
      <c r="CXM2" s="133"/>
      <c r="CXN2" s="133"/>
      <c r="CXO2" s="133"/>
      <c r="CXP2" s="133"/>
      <c r="CXQ2" s="133"/>
      <c r="CXR2" s="133"/>
      <c r="CXS2" s="133"/>
      <c r="CXT2" s="133"/>
      <c r="CXU2" s="133"/>
      <c r="CXV2" s="133"/>
      <c r="CXW2" s="133"/>
      <c r="CXX2" s="133"/>
      <c r="CXY2" s="133"/>
      <c r="CXZ2" s="133"/>
      <c r="CYA2" s="133"/>
      <c r="CYB2" s="133"/>
      <c r="CYC2" s="133"/>
      <c r="CYD2" s="133"/>
      <c r="CYE2" s="133"/>
      <c r="CYF2" s="133"/>
      <c r="CYG2" s="133"/>
      <c r="CYH2" s="133"/>
      <c r="CYI2" s="133"/>
      <c r="CYJ2" s="133"/>
      <c r="CYK2" s="133"/>
      <c r="CYL2" s="133"/>
      <c r="CYM2" s="133"/>
      <c r="CYN2" s="133"/>
      <c r="CYO2" s="133"/>
      <c r="CYP2" s="133"/>
      <c r="CYQ2" s="133"/>
      <c r="CYR2" s="133"/>
      <c r="CYS2" s="133"/>
      <c r="CYT2" s="133"/>
      <c r="CYU2" s="133"/>
      <c r="CYV2" s="133"/>
      <c r="CYW2" s="133"/>
      <c r="CYX2" s="133"/>
      <c r="CYY2" s="133"/>
      <c r="CYZ2" s="133"/>
      <c r="CZA2" s="133"/>
      <c r="CZB2" s="133"/>
      <c r="CZC2" s="133"/>
      <c r="CZD2" s="133"/>
      <c r="CZE2" s="133"/>
      <c r="CZF2" s="133"/>
      <c r="CZG2" s="133"/>
      <c r="CZH2" s="133"/>
      <c r="CZI2" s="133"/>
      <c r="CZJ2" s="133"/>
      <c r="CZK2" s="133"/>
      <c r="CZL2" s="133"/>
      <c r="CZM2" s="133"/>
      <c r="CZN2" s="133"/>
      <c r="CZO2" s="133"/>
      <c r="CZP2" s="133"/>
      <c r="CZQ2" s="133"/>
      <c r="CZR2" s="133"/>
      <c r="CZS2" s="133"/>
      <c r="CZT2" s="133"/>
      <c r="CZU2" s="133"/>
      <c r="CZV2" s="133"/>
      <c r="CZW2" s="133"/>
      <c r="CZX2" s="133"/>
      <c r="CZY2" s="133"/>
      <c r="CZZ2" s="133"/>
      <c r="DAA2" s="133"/>
      <c r="DAB2" s="133"/>
      <c r="DAC2" s="133"/>
      <c r="DAD2" s="133"/>
      <c r="DAE2" s="133"/>
      <c r="DAF2" s="133"/>
      <c r="DAG2" s="133"/>
      <c r="DAH2" s="133"/>
      <c r="DAI2" s="133"/>
      <c r="DAJ2" s="133"/>
      <c r="DAK2" s="133"/>
      <c r="DAL2" s="133"/>
      <c r="DAM2" s="133"/>
      <c r="DAN2" s="133"/>
      <c r="DAO2" s="133"/>
      <c r="DAP2" s="133"/>
      <c r="DAQ2" s="133"/>
      <c r="DAR2" s="133"/>
      <c r="DAS2" s="133"/>
      <c r="DAT2" s="133"/>
      <c r="DAU2" s="133"/>
      <c r="DAV2" s="133"/>
      <c r="DAW2" s="133"/>
      <c r="DAX2" s="133"/>
      <c r="DAY2" s="133"/>
      <c r="DAZ2" s="133"/>
      <c r="DBA2" s="133"/>
      <c r="DBB2" s="133"/>
      <c r="DBC2" s="133"/>
      <c r="DBD2" s="133"/>
      <c r="DBE2" s="133"/>
      <c r="DBF2" s="133"/>
      <c r="DBG2" s="133"/>
      <c r="DBH2" s="133"/>
      <c r="DBI2" s="133"/>
      <c r="DBJ2" s="133"/>
      <c r="DBK2" s="133"/>
      <c r="DBL2" s="133"/>
      <c r="DBM2" s="133"/>
      <c r="DBN2" s="133"/>
      <c r="DBO2" s="133"/>
      <c r="DBP2" s="133"/>
      <c r="DBQ2" s="133"/>
      <c r="DBR2" s="133"/>
      <c r="DBS2" s="133"/>
      <c r="DBT2" s="133"/>
      <c r="DBU2" s="133"/>
      <c r="DBV2" s="133"/>
      <c r="DBW2" s="133"/>
      <c r="DBX2" s="133"/>
      <c r="DBY2" s="133"/>
      <c r="DBZ2" s="133"/>
      <c r="DCA2" s="133"/>
      <c r="DCB2" s="133"/>
      <c r="DCC2" s="133"/>
      <c r="DCD2" s="133"/>
      <c r="DCE2" s="133"/>
      <c r="DCF2" s="133"/>
      <c r="DCG2" s="133"/>
      <c r="DCH2" s="133"/>
      <c r="DCI2" s="133"/>
      <c r="DCJ2" s="133"/>
      <c r="DCK2" s="133"/>
      <c r="DCL2" s="133"/>
      <c r="DCM2" s="133"/>
      <c r="DCN2" s="133"/>
      <c r="DCO2" s="133"/>
      <c r="DCP2" s="133"/>
      <c r="DCQ2" s="133"/>
      <c r="DCR2" s="133"/>
      <c r="DCS2" s="133"/>
      <c r="DCT2" s="133"/>
      <c r="DCU2" s="133"/>
      <c r="DCV2" s="133"/>
      <c r="DCW2" s="133"/>
      <c r="DCX2" s="133"/>
      <c r="DCY2" s="133"/>
      <c r="DCZ2" s="133"/>
      <c r="DDA2" s="133"/>
      <c r="DDB2" s="133"/>
      <c r="DDC2" s="133"/>
      <c r="DDD2" s="133"/>
      <c r="DDE2" s="133"/>
      <c r="DDF2" s="133"/>
      <c r="DDG2" s="133"/>
      <c r="DDH2" s="133"/>
      <c r="DDI2" s="133"/>
      <c r="DDJ2" s="133"/>
      <c r="DDK2" s="133"/>
      <c r="DDL2" s="133"/>
      <c r="DDM2" s="133"/>
      <c r="DDN2" s="133"/>
      <c r="DDO2" s="133"/>
      <c r="DDP2" s="133"/>
      <c r="DDQ2" s="133"/>
      <c r="DDR2" s="133"/>
      <c r="DDS2" s="133"/>
      <c r="DDT2" s="133"/>
      <c r="DDU2" s="133"/>
      <c r="DDV2" s="133"/>
      <c r="DDW2" s="133"/>
      <c r="DDX2" s="133"/>
      <c r="DDY2" s="133"/>
      <c r="DDZ2" s="133"/>
      <c r="DEA2" s="133"/>
      <c r="DEB2" s="133"/>
      <c r="DEC2" s="133"/>
    </row>
    <row r="3" spans="1:2837" s="138" customFormat="1" ht="22.5" customHeight="1" x14ac:dyDescent="0.15">
      <c r="A3" s="192" t="s">
        <v>415</v>
      </c>
      <c r="B3" s="194" t="s">
        <v>414</v>
      </c>
      <c r="C3" s="195"/>
      <c r="D3" s="196"/>
      <c r="E3" s="190" t="s">
        <v>413</v>
      </c>
      <c r="F3" s="190"/>
      <c r="G3" s="190"/>
      <c r="H3" s="190" t="s">
        <v>412</v>
      </c>
      <c r="I3" s="190"/>
      <c r="J3" s="190"/>
      <c r="K3" s="190" t="s">
        <v>411</v>
      </c>
      <c r="L3" s="190"/>
      <c r="M3" s="190"/>
      <c r="N3" s="190" t="s">
        <v>410</v>
      </c>
      <c r="O3" s="190"/>
      <c r="P3" s="190"/>
      <c r="Q3" s="190" t="s">
        <v>409</v>
      </c>
      <c r="R3" s="190"/>
      <c r="S3" s="190"/>
      <c r="T3" s="190" t="s">
        <v>408</v>
      </c>
      <c r="U3" s="190"/>
      <c r="V3" s="190"/>
      <c r="W3" s="190" t="s">
        <v>407</v>
      </c>
      <c r="X3" s="190"/>
      <c r="Y3" s="190"/>
      <c r="Z3" s="190" t="s">
        <v>406</v>
      </c>
      <c r="AA3" s="190"/>
      <c r="AB3" s="190"/>
      <c r="AC3" s="190" t="s">
        <v>405</v>
      </c>
      <c r="AD3" s="190"/>
      <c r="AE3" s="190"/>
      <c r="AF3" s="190" t="s">
        <v>404</v>
      </c>
      <c r="AG3" s="190"/>
      <c r="AH3" s="190"/>
      <c r="AI3" s="190" t="s">
        <v>403</v>
      </c>
      <c r="AJ3" s="190"/>
      <c r="AK3" s="190"/>
      <c r="AL3" s="190" t="s">
        <v>402</v>
      </c>
      <c r="AM3" s="190"/>
      <c r="AN3" s="190"/>
      <c r="AO3" s="190" t="s">
        <v>401</v>
      </c>
      <c r="AP3" s="190"/>
      <c r="AQ3" s="190"/>
      <c r="AR3" s="190" t="s">
        <v>400</v>
      </c>
      <c r="AS3" s="190"/>
      <c r="AT3" s="190"/>
      <c r="AU3" s="190" t="s">
        <v>399</v>
      </c>
      <c r="AV3" s="190"/>
      <c r="AW3" s="190"/>
      <c r="AX3" s="190" t="s">
        <v>398</v>
      </c>
      <c r="AY3" s="190"/>
      <c r="AZ3" s="190"/>
      <c r="BA3" s="190" t="s">
        <v>397</v>
      </c>
      <c r="BB3" s="190"/>
      <c r="BC3" s="190"/>
      <c r="BD3" s="190" t="s">
        <v>396</v>
      </c>
      <c r="BE3" s="190"/>
      <c r="BF3" s="190"/>
      <c r="BG3" s="190" t="s">
        <v>395</v>
      </c>
      <c r="BH3" s="190"/>
      <c r="BI3" s="190"/>
      <c r="BJ3" s="190" t="s">
        <v>394</v>
      </c>
      <c r="BK3" s="190"/>
      <c r="BL3" s="190"/>
      <c r="BM3" s="190" t="s">
        <v>393</v>
      </c>
      <c r="BN3" s="190"/>
      <c r="BO3" s="190"/>
      <c r="BP3" s="190" t="s">
        <v>392</v>
      </c>
      <c r="BQ3" s="190"/>
      <c r="BR3" s="190"/>
      <c r="BS3" s="190" t="s">
        <v>391</v>
      </c>
      <c r="BT3" s="190"/>
      <c r="BU3" s="190"/>
      <c r="BV3" s="190" t="s">
        <v>390</v>
      </c>
      <c r="BW3" s="190"/>
      <c r="BX3" s="190"/>
      <c r="BY3" s="190" t="s">
        <v>389</v>
      </c>
      <c r="BZ3" s="190"/>
      <c r="CA3" s="190"/>
      <c r="CB3" s="190" t="s">
        <v>388</v>
      </c>
      <c r="CC3" s="190"/>
      <c r="CD3" s="190"/>
      <c r="CE3" s="190" t="s">
        <v>387</v>
      </c>
      <c r="CF3" s="190"/>
      <c r="CG3" s="190"/>
      <c r="CH3" s="190" t="s">
        <v>386</v>
      </c>
      <c r="CI3" s="190"/>
      <c r="CJ3" s="190"/>
      <c r="CK3" s="190" t="s">
        <v>385</v>
      </c>
      <c r="CL3" s="190"/>
      <c r="CM3" s="190"/>
      <c r="CN3" s="190" t="s">
        <v>384</v>
      </c>
      <c r="CO3" s="190"/>
      <c r="CP3" s="190"/>
      <c r="CQ3" s="190" t="s">
        <v>383</v>
      </c>
      <c r="CR3" s="190"/>
      <c r="CS3" s="190"/>
      <c r="CT3" s="190" t="s">
        <v>382</v>
      </c>
      <c r="CU3" s="190"/>
      <c r="CV3" s="190"/>
      <c r="CW3" s="190" t="s">
        <v>381</v>
      </c>
      <c r="CX3" s="190"/>
      <c r="CY3" s="190"/>
      <c r="CZ3" s="190" t="s">
        <v>380</v>
      </c>
      <c r="DA3" s="190"/>
      <c r="DB3" s="190"/>
      <c r="DC3" s="190" t="s">
        <v>379</v>
      </c>
      <c r="DD3" s="190"/>
      <c r="DE3" s="190"/>
      <c r="DF3" s="190" t="s">
        <v>378</v>
      </c>
      <c r="DG3" s="190"/>
      <c r="DH3" s="190"/>
      <c r="DI3" s="190" t="s">
        <v>377</v>
      </c>
      <c r="DJ3" s="190"/>
      <c r="DK3" s="190"/>
      <c r="DL3" s="190" t="s">
        <v>376</v>
      </c>
      <c r="DM3" s="190"/>
      <c r="DN3" s="190"/>
      <c r="DO3" s="190" t="s">
        <v>375</v>
      </c>
      <c r="DP3" s="190"/>
      <c r="DQ3" s="190"/>
      <c r="DR3" s="190" t="s">
        <v>374</v>
      </c>
      <c r="DS3" s="190"/>
      <c r="DT3" s="190"/>
      <c r="DU3" s="190" t="s">
        <v>373</v>
      </c>
      <c r="DV3" s="190"/>
      <c r="DW3" s="190"/>
      <c r="DX3" s="190" t="s">
        <v>372</v>
      </c>
      <c r="DY3" s="190"/>
      <c r="DZ3" s="190"/>
      <c r="EA3" s="190" t="s">
        <v>371</v>
      </c>
      <c r="EB3" s="190"/>
      <c r="EC3" s="190"/>
      <c r="ED3" s="190" t="s">
        <v>370</v>
      </c>
      <c r="EE3" s="190"/>
      <c r="EF3" s="190"/>
      <c r="EG3" s="190" t="s">
        <v>369</v>
      </c>
      <c r="EH3" s="190"/>
      <c r="EI3" s="190"/>
      <c r="EJ3" s="190" t="s">
        <v>368</v>
      </c>
      <c r="EK3" s="190"/>
      <c r="EL3" s="190"/>
      <c r="EM3" s="190" t="s">
        <v>367</v>
      </c>
      <c r="EN3" s="190"/>
      <c r="EO3" s="190"/>
      <c r="EP3" s="190" t="s">
        <v>366</v>
      </c>
      <c r="EQ3" s="190"/>
      <c r="ER3" s="190"/>
      <c r="ES3" s="190" t="s">
        <v>365</v>
      </c>
      <c r="ET3" s="190"/>
      <c r="EU3" s="190"/>
      <c r="EV3" s="190" t="s">
        <v>364</v>
      </c>
      <c r="EW3" s="190"/>
      <c r="EX3" s="190"/>
      <c r="EY3" s="190" t="s">
        <v>363</v>
      </c>
      <c r="EZ3" s="190"/>
      <c r="FA3" s="190"/>
      <c r="FB3" s="190" t="s">
        <v>362</v>
      </c>
      <c r="FC3" s="190"/>
      <c r="FD3" s="190"/>
      <c r="FE3" s="190" t="s">
        <v>361</v>
      </c>
      <c r="FF3" s="190"/>
      <c r="FG3" s="190"/>
      <c r="FH3" s="190" t="s">
        <v>360</v>
      </c>
      <c r="FI3" s="190"/>
      <c r="FJ3" s="190"/>
      <c r="FK3" s="190" t="s">
        <v>359</v>
      </c>
      <c r="FL3" s="190"/>
      <c r="FM3" s="190"/>
      <c r="FN3" s="190" t="s">
        <v>358</v>
      </c>
      <c r="FO3" s="190"/>
      <c r="FP3" s="190"/>
      <c r="FQ3" s="190" t="s">
        <v>357</v>
      </c>
      <c r="FR3" s="190"/>
      <c r="FS3" s="190"/>
      <c r="FT3" s="190" t="s">
        <v>356</v>
      </c>
      <c r="FU3" s="190"/>
      <c r="FV3" s="190"/>
      <c r="FW3" s="190" t="s">
        <v>355</v>
      </c>
      <c r="FX3" s="190"/>
      <c r="FY3" s="190"/>
      <c r="FZ3" s="190" t="s">
        <v>354</v>
      </c>
      <c r="GA3" s="190"/>
      <c r="GB3" s="190"/>
      <c r="GC3" s="190" t="s">
        <v>353</v>
      </c>
      <c r="GD3" s="190"/>
      <c r="GE3" s="190"/>
      <c r="GF3" s="190" t="s">
        <v>352</v>
      </c>
      <c r="GG3" s="190"/>
      <c r="GH3" s="190"/>
      <c r="GI3" s="190" t="s">
        <v>351</v>
      </c>
      <c r="GJ3" s="190"/>
      <c r="GK3" s="190"/>
      <c r="GL3" s="190" t="s">
        <v>350</v>
      </c>
      <c r="GM3" s="190"/>
      <c r="GN3" s="190"/>
      <c r="GO3" s="190" t="s">
        <v>349</v>
      </c>
      <c r="GP3" s="190"/>
      <c r="GQ3" s="190"/>
      <c r="GR3" s="190" t="s">
        <v>348</v>
      </c>
      <c r="GS3" s="190"/>
      <c r="GT3" s="190"/>
      <c r="GU3" s="190" t="s">
        <v>347</v>
      </c>
      <c r="GV3" s="190"/>
      <c r="GW3" s="190"/>
      <c r="GX3" s="190" t="s">
        <v>346</v>
      </c>
      <c r="GY3" s="190"/>
      <c r="GZ3" s="190"/>
      <c r="HA3" s="190" t="s">
        <v>345</v>
      </c>
      <c r="HB3" s="190"/>
      <c r="HC3" s="190"/>
      <c r="HD3" s="190" t="s">
        <v>344</v>
      </c>
      <c r="HE3" s="190"/>
      <c r="HF3" s="190"/>
      <c r="HG3" s="190" t="s">
        <v>343</v>
      </c>
      <c r="HH3" s="190"/>
      <c r="HI3" s="190"/>
      <c r="HJ3" s="190" t="s">
        <v>342</v>
      </c>
      <c r="HK3" s="190"/>
      <c r="HL3" s="190"/>
      <c r="HM3" s="190" t="s">
        <v>341</v>
      </c>
      <c r="HN3" s="190"/>
      <c r="HO3" s="190"/>
      <c r="HP3" s="190" t="s">
        <v>340</v>
      </c>
      <c r="HQ3" s="190"/>
      <c r="HR3" s="190"/>
      <c r="HS3" s="190" t="s">
        <v>339</v>
      </c>
      <c r="HT3" s="190"/>
      <c r="HU3" s="190"/>
      <c r="HV3" s="190" t="s">
        <v>338</v>
      </c>
      <c r="HW3" s="190"/>
      <c r="HX3" s="190"/>
      <c r="HY3" s="190" t="s">
        <v>337</v>
      </c>
      <c r="HZ3" s="190"/>
      <c r="IA3" s="190"/>
      <c r="IB3" s="190" t="s">
        <v>336</v>
      </c>
      <c r="IC3" s="190"/>
      <c r="ID3" s="190"/>
      <c r="IE3" s="190" t="s">
        <v>335</v>
      </c>
      <c r="IF3" s="190"/>
      <c r="IG3" s="190"/>
      <c r="IH3" s="190" t="s">
        <v>334</v>
      </c>
      <c r="II3" s="190"/>
      <c r="IJ3" s="190"/>
      <c r="IK3" s="190" t="s">
        <v>333</v>
      </c>
      <c r="IL3" s="190"/>
      <c r="IM3" s="190"/>
      <c r="IN3" s="190" t="s">
        <v>332</v>
      </c>
      <c r="IO3" s="190"/>
      <c r="IP3" s="190"/>
      <c r="IQ3" s="190" t="s">
        <v>331</v>
      </c>
      <c r="IR3" s="190"/>
      <c r="IS3" s="190"/>
      <c r="IT3" s="190" t="s">
        <v>330</v>
      </c>
      <c r="IU3" s="190"/>
      <c r="IV3" s="190"/>
      <c r="IW3" s="190" t="s">
        <v>329</v>
      </c>
      <c r="IX3" s="190"/>
      <c r="IY3" s="190"/>
      <c r="IZ3" s="190" t="s">
        <v>328</v>
      </c>
      <c r="JA3" s="190"/>
      <c r="JB3" s="190"/>
      <c r="JC3" s="190" t="s">
        <v>327</v>
      </c>
      <c r="JD3" s="190"/>
      <c r="JE3" s="190"/>
      <c r="JF3" s="190" t="s">
        <v>326</v>
      </c>
      <c r="JG3" s="190"/>
      <c r="JH3" s="190"/>
      <c r="JI3" s="190" t="s">
        <v>325</v>
      </c>
      <c r="JJ3" s="190"/>
      <c r="JK3" s="190"/>
      <c r="JL3" s="190" t="s">
        <v>324</v>
      </c>
      <c r="JM3" s="190"/>
      <c r="JN3" s="190"/>
      <c r="JO3" s="190" t="s">
        <v>323</v>
      </c>
      <c r="JP3" s="190"/>
      <c r="JQ3" s="190"/>
      <c r="JR3" s="190" t="s">
        <v>322</v>
      </c>
      <c r="JS3" s="190"/>
      <c r="JT3" s="190"/>
      <c r="JU3" s="190" t="s">
        <v>321</v>
      </c>
      <c r="JV3" s="190"/>
      <c r="JW3" s="190"/>
      <c r="JX3" s="190" t="s">
        <v>320</v>
      </c>
      <c r="JY3" s="190"/>
      <c r="JZ3" s="190"/>
      <c r="KA3" s="190" t="s">
        <v>319</v>
      </c>
      <c r="KB3" s="190"/>
      <c r="KC3" s="190"/>
      <c r="KD3" s="190" t="s">
        <v>318</v>
      </c>
      <c r="KE3" s="190"/>
      <c r="KF3" s="190"/>
      <c r="KG3" s="190" t="s">
        <v>317</v>
      </c>
      <c r="KH3" s="190"/>
      <c r="KI3" s="190"/>
      <c r="KJ3" s="190" t="s">
        <v>316</v>
      </c>
      <c r="KK3" s="190"/>
      <c r="KL3" s="190"/>
      <c r="KM3" s="190" t="s">
        <v>315</v>
      </c>
      <c r="KN3" s="190"/>
      <c r="KO3" s="190"/>
      <c r="KP3" s="190" t="s">
        <v>314</v>
      </c>
      <c r="KQ3" s="190"/>
      <c r="KR3" s="190"/>
      <c r="KS3" s="190" t="s">
        <v>313</v>
      </c>
      <c r="KT3" s="190"/>
      <c r="KU3" s="190"/>
      <c r="KV3" s="190" t="s">
        <v>312</v>
      </c>
      <c r="KW3" s="190"/>
      <c r="KX3" s="190"/>
      <c r="KY3" s="190" t="s">
        <v>311</v>
      </c>
      <c r="KZ3" s="190"/>
      <c r="LA3" s="190"/>
      <c r="LB3" s="190" t="s">
        <v>310</v>
      </c>
      <c r="LC3" s="190"/>
      <c r="LD3" s="190"/>
      <c r="LE3" s="190" t="s">
        <v>309</v>
      </c>
      <c r="LF3" s="190"/>
      <c r="LG3" s="190"/>
      <c r="LH3" s="190" t="s">
        <v>308</v>
      </c>
      <c r="LI3" s="190"/>
      <c r="LJ3" s="190"/>
      <c r="LK3" s="190" t="s">
        <v>307</v>
      </c>
      <c r="LL3" s="190"/>
      <c r="LM3" s="190"/>
      <c r="LN3" s="190" t="s">
        <v>306</v>
      </c>
      <c r="LO3" s="190"/>
      <c r="LP3" s="190"/>
      <c r="LQ3" s="190" t="s">
        <v>305</v>
      </c>
      <c r="LR3" s="190"/>
      <c r="LS3" s="190"/>
      <c r="LT3" s="190" t="s">
        <v>304</v>
      </c>
      <c r="LU3" s="190"/>
      <c r="LV3" s="190"/>
      <c r="LW3" s="190" t="s">
        <v>303</v>
      </c>
      <c r="LX3" s="190"/>
      <c r="LY3" s="190"/>
      <c r="LZ3" s="190" t="s">
        <v>302</v>
      </c>
      <c r="MA3" s="190"/>
      <c r="MB3" s="190"/>
      <c r="MC3" s="190" t="s">
        <v>301</v>
      </c>
      <c r="MD3" s="190"/>
      <c r="ME3" s="190"/>
      <c r="MF3" s="190" t="s">
        <v>300</v>
      </c>
      <c r="MG3" s="190"/>
      <c r="MH3" s="190"/>
      <c r="MI3" s="190" t="s">
        <v>299</v>
      </c>
      <c r="MJ3" s="190"/>
      <c r="MK3" s="190"/>
      <c r="ML3" s="190" t="s">
        <v>298</v>
      </c>
      <c r="MM3" s="190"/>
      <c r="MN3" s="190"/>
      <c r="MO3" s="190" t="s">
        <v>297</v>
      </c>
      <c r="MP3" s="190"/>
      <c r="MQ3" s="190"/>
      <c r="MR3" s="190" t="s">
        <v>296</v>
      </c>
      <c r="MS3" s="190"/>
      <c r="MT3" s="190"/>
      <c r="MU3" s="190" t="s">
        <v>295</v>
      </c>
      <c r="MV3" s="190"/>
      <c r="MW3" s="190"/>
      <c r="MX3" s="190" t="s">
        <v>294</v>
      </c>
      <c r="MY3" s="190"/>
      <c r="MZ3" s="190"/>
      <c r="NA3" s="190" t="s">
        <v>293</v>
      </c>
      <c r="NB3" s="190"/>
      <c r="NC3" s="190"/>
      <c r="ND3" s="190" t="s">
        <v>292</v>
      </c>
      <c r="NE3" s="190"/>
      <c r="NF3" s="190"/>
      <c r="NG3" s="190" t="s">
        <v>291</v>
      </c>
      <c r="NH3" s="190"/>
      <c r="NI3" s="190"/>
      <c r="NJ3" s="190" t="s">
        <v>290</v>
      </c>
      <c r="NK3" s="190"/>
      <c r="NL3" s="190"/>
      <c r="NM3" s="190" t="s">
        <v>289</v>
      </c>
      <c r="NN3" s="190"/>
      <c r="NO3" s="190"/>
      <c r="NP3" s="190" t="s">
        <v>288</v>
      </c>
      <c r="NQ3" s="190"/>
      <c r="NR3" s="190"/>
      <c r="NS3" s="190" t="s">
        <v>287</v>
      </c>
      <c r="NT3" s="190"/>
      <c r="NU3" s="190"/>
      <c r="NV3" s="190" t="s">
        <v>286</v>
      </c>
      <c r="NW3" s="190"/>
      <c r="NX3" s="190"/>
      <c r="NY3" s="190" t="s">
        <v>285</v>
      </c>
      <c r="NZ3" s="190"/>
      <c r="OA3" s="190"/>
      <c r="OB3" s="190" t="s">
        <v>284</v>
      </c>
      <c r="OC3" s="190"/>
      <c r="OD3" s="190"/>
      <c r="OE3" s="190" t="s">
        <v>283</v>
      </c>
      <c r="OF3" s="190"/>
      <c r="OG3" s="190"/>
      <c r="OH3" s="190" t="s">
        <v>282</v>
      </c>
      <c r="OI3" s="190"/>
      <c r="OJ3" s="190"/>
      <c r="OK3" s="190" t="s">
        <v>281</v>
      </c>
      <c r="OL3" s="190"/>
      <c r="OM3" s="190"/>
      <c r="ON3" s="190" t="s">
        <v>280</v>
      </c>
      <c r="OO3" s="190"/>
      <c r="OP3" s="190"/>
      <c r="OQ3" s="190" t="s">
        <v>279</v>
      </c>
      <c r="OR3" s="190"/>
      <c r="OS3" s="190"/>
      <c r="OT3" s="190" t="s">
        <v>278</v>
      </c>
      <c r="OU3" s="190"/>
      <c r="OV3" s="190"/>
      <c r="OW3" s="190" t="s">
        <v>277</v>
      </c>
      <c r="OX3" s="190"/>
      <c r="OY3" s="190"/>
      <c r="OZ3" s="190" t="s">
        <v>276</v>
      </c>
      <c r="PA3" s="190"/>
      <c r="PB3" s="190"/>
      <c r="PC3" s="187" t="s">
        <v>275</v>
      </c>
      <c r="PD3" s="188"/>
      <c r="PE3" s="189"/>
      <c r="PF3" s="187" t="s">
        <v>274</v>
      </c>
      <c r="PG3" s="188"/>
      <c r="PH3" s="189"/>
      <c r="PI3" s="187" t="s">
        <v>273</v>
      </c>
      <c r="PJ3" s="188"/>
      <c r="PK3" s="189"/>
      <c r="PL3" s="187" t="s">
        <v>272</v>
      </c>
      <c r="PM3" s="188"/>
      <c r="PN3" s="189"/>
      <c r="PO3" s="187" t="s">
        <v>271</v>
      </c>
      <c r="PP3" s="188"/>
      <c r="PQ3" s="189"/>
      <c r="PR3" s="187" t="s">
        <v>270</v>
      </c>
      <c r="PS3" s="188"/>
      <c r="PT3" s="189"/>
      <c r="PU3" s="187" t="s">
        <v>269</v>
      </c>
      <c r="PV3" s="188"/>
      <c r="PW3" s="189"/>
      <c r="PX3" s="187" t="s">
        <v>268</v>
      </c>
      <c r="PY3" s="188"/>
      <c r="PZ3" s="189"/>
      <c r="QA3" s="187" t="s">
        <v>267</v>
      </c>
      <c r="QB3" s="188"/>
      <c r="QC3" s="189"/>
      <c r="QD3" s="187" t="s">
        <v>266</v>
      </c>
      <c r="QE3" s="188"/>
      <c r="QF3" s="189"/>
      <c r="QG3" s="187" t="s">
        <v>265</v>
      </c>
      <c r="QH3" s="188"/>
      <c r="QI3" s="189"/>
      <c r="QJ3" s="187" t="s">
        <v>264</v>
      </c>
      <c r="QK3" s="188"/>
      <c r="QL3" s="189"/>
      <c r="QM3" s="187" t="s">
        <v>263</v>
      </c>
      <c r="QN3" s="188"/>
      <c r="QO3" s="189"/>
      <c r="QP3" s="187" t="s">
        <v>262</v>
      </c>
      <c r="QQ3" s="188"/>
      <c r="QR3" s="189"/>
      <c r="QS3" s="187" t="s">
        <v>261</v>
      </c>
      <c r="QT3" s="188"/>
      <c r="QU3" s="189"/>
      <c r="QV3" s="187" t="s">
        <v>260</v>
      </c>
      <c r="QW3" s="188"/>
      <c r="QX3" s="189"/>
      <c r="QY3" s="187" t="s">
        <v>259</v>
      </c>
      <c r="QZ3" s="188"/>
      <c r="RA3" s="189"/>
      <c r="RB3" s="187" t="s">
        <v>258</v>
      </c>
      <c r="RC3" s="188"/>
      <c r="RD3" s="189"/>
      <c r="RE3" s="187" t="s">
        <v>257</v>
      </c>
      <c r="RF3" s="188"/>
      <c r="RG3" s="189"/>
      <c r="RH3" s="187" t="s">
        <v>256</v>
      </c>
      <c r="RI3" s="188"/>
      <c r="RJ3" s="189"/>
      <c r="RK3" s="187" t="s">
        <v>255</v>
      </c>
      <c r="RL3" s="188"/>
      <c r="RM3" s="189"/>
      <c r="RN3" s="187" t="s">
        <v>254</v>
      </c>
      <c r="RO3" s="188"/>
      <c r="RP3" s="189"/>
      <c r="RQ3" s="187" t="s">
        <v>253</v>
      </c>
      <c r="RR3" s="188"/>
      <c r="RS3" s="189"/>
      <c r="RT3" s="187" t="s">
        <v>252</v>
      </c>
      <c r="RU3" s="188"/>
      <c r="RV3" s="189"/>
      <c r="RW3" s="187" t="s">
        <v>251</v>
      </c>
      <c r="RX3" s="188"/>
      <c r="RY3" s="189"/>
      <c r="RZ3" s="187" t="s">
        <v>250</v>
      </c>
      <c r="SA3" s="188"/>
      <c r="SB3" s="189"/>
      <c r="SC3" s="187" t="s">
        <v>249</v>
      </c>
      <c r="SD3" s="188"/>
      <c r="SE3" s="189"/>
      <c r="SF3" s="187" t="s">
        <v>248</v>
      </c>
      <c r="SG3" s="188"/>
      <c r="SH3" s="189"/>
      <c r="SI3" s="187" t="s">
        <v>247</v>
      </c>
      <c r="SJ3" s="188"/>
      <c r="SK3" s="189"/>
      <c r="SL3" s="187" t="s">
        <v>246</v>
      </c>
      <c r="SM3" s="188"/>
      <c r="SN3" s="189"/>
      <c r="SO3" s="187" t="s">
        <v>245</v>
      </c>
      <c r="SP3" s="188"/>
      <c r="SQ3" s="189"/>
      <c r="SR3" s="187" t="s">
        <v>244</v>
      </c>
      <c r="SS3" s="188"/>
      <c r="ST3" s="189"/>
      <c r="SU3" s="187" t="s">
        <v>243</v>
      </c>
      <c r="SV3" s="188"/>
      <c r="SW3" s="189"/>
      <c r="SX3" s="187" t="s">
        <v>242</v>
      </c>
      <c r="SY3" s="188"/>
      <c r="SZ3" s="189"/>
      <c r="TA3" s="187" t="s">
        <v>241</v>
      </c>
      <c r="TB3" s="188"/>
      <c r="TC3" s="189"/>
      <c r="TD3" s="187" t="s">
        <v>240</v>
      </c>
      <c r="TE3" s="188"/>
      <c r="TF3" s="189"/>
      <c r="TG3" s="187" t="s">
        <v>239</v>
      </c>
      <c r="TH3" s="188"/>
      <c r="TI3" s="189"/>
      <c r="TJ3" s="139" t="s">
        <v>238</v>
      </c>
      <c r="TK3" s="139"/>
      <c r="TL3" s="139"/>
      <c r="TM3" s="187" t="s">
        <v>237</v>
      </c>
      <c r="TN3" s="188"/>
      <c r="TO3" s="189"/>
      <c r="TP3" s="187" t="s">
        <v>236</v>
      </c>
      <c r="TQ3" s="188"/>
      <c r="TR3" s="189"/>
      <c r="TS3" s="187" t="s">
        <v>235</v>
      </c>
      <c r="TT3" s="188"/>
      <c r="TU3" s="189"/>
      <c r="TV3" s="187" t="s">
        <v>234</v>
      </c>
      <c r="TW3" s="188"/>
      <c r="TX3" s="189"/>
      <c r="TY3" s="187" t="s">
        <v>233</v>
      </c>
      <c r="TZ3" s="188"/>
      <c r="UA3" s="189"/>
      <c r="UB3" s="187" t="s">
        <v>232</v>
      </c>
      <c r="UC3" s="188"/>
      <c r="UD3" s="189"/>
      <c r="UE3" s="187" t="s">
        <v>231</v>
      </c>
      <c r="UF3" s="188"/>
      <c r="UG3" s="189"/>
      <c r="UH3" s="187" t="s">
        <v>230</v>
      </c>
      <c r="UI3" s="188"/>
      <c r="UJ3" s="189"/>
      <c r="UK3" s="187" t="s">
        <v>229</v>
      </c>
      <c r="UL3" s="188"/>
      <c r="UM3" s="189"/>
      <c r="UN3" s="187" t="s">
        <v>228</v>
      </c>
      <c r="UO3" s="188"/>
      <c r="UP3" s="189"/>
      <c r="UQ3" s="187" t="s">
        <v>227</v>
      </c>
      <c r="UR3" s="188"/>
      <c r="US3" s="189"/>
      <c r="UT3" s="187" t="s">
        <v>226</v>
      </c>
      <c r="UU3" s="188"/>
      <c r="UV3" s="189"/>
      <c r="UW3" s="187" t="s">
        <v>225</v>
      </c>
      <c r="UX3" s="188"/>
      <c r="UY3" s="189"/>
      <c r="UZ3" s="187" t="s">
        <v>224</v>
      </c>
      <c r="VA3" s="188"/>
      <c r="VB3" s="189"/>
      <c r="VC3" s="187" t="s">
        <v>223</v>
      </c>
      <c r="VD3" s="188"/>
      <c r="VE3" s="189"/>
      <c r="VF3" s="187" t="s">
        <v>222</v>
      </c>
      <c r="VG3" s="188"/>
      <c r="VH3" s="189"/>
      <c r="VI3" s="187" t="s">
        <v>221</v>
      </c>
      <c r="VJ3" s="188"/>
      <c r="VK3" s="189"/>
      <c r="VL3" s="187" t="s">
        <v>220</v>
      </c>
      <c r="VM3" s="188"/>
      <c r="VN3" s="189"/>
      <c r="VO3" s="187" t="s">
        <v>219</v>
      </c>
      <c r="VP3" s="188"/>
      <c r="VQ3" s="189"/>
      <c r="VR3" s="187" t="s">
        <v>218</v>
      </c>
      <c r="VS3" s="188"/>
      <c r="VT3" s="189"/>
      <c r="VU3" s="187" t="s">
        <v>217</v>
      </c>
      <c r="VV3" s="188"/>
      <c r="VW3" s="189"/>
      <c r="VX3" s="187" t="s">
        <v>216</v>
      </c>
      <c r="VY3" s="188"/>
      <c r="VZ3" s="189"/>
      <c r="WA3" s="187" t="s">
        <v>215</v>
      </c>
      <c r="WB3" s="188"/>
      <c r="WC3" s="189"/>
      <c r="WD3" s="133"/>
      <c r="WE3" s="133"/>
      <c r="WF3" s="133"/>
      <c r="WG3" s="133"/>
      <c r="WH3" s="133"/>
      <c r="WI3" s="133"/>
      <c r="WJ3" s="133"/>
      <c r="WK3" s="133"/>
      <c r="WL3" s="133"/>
      <c r="WM3" s="133"/>
      <c r="WN3" s="133"/>
      <c r="WO3" s="133"/>
      <c r="WP3" s="133"/>
      <c r="WQ3" s="133"/>
      <c r="WR3" s="133"/>
      <c r="WS3" s="133"/>
      <c r="WT3" s="133"/>
      <c r="WU3" s="133"/>
      <c r="WV3" s="133"/>
      <c r="WW3" s="133"/>
      <c r="WX3" s="133"/>
      <c r="WY3" s="133"/>
      <c r="WZ3" s="133"/>
      <c r="XA3" s="133"/>
      <c r="XB3" s="133"/>
      <c r="XC3" s="133"/>
      <c r="XD3" s="133"/>
      <c r="XE3" s="133"/>
      <c r="XF3" s="133"/>
      <c r="XG3" s="133"/>
      <c r="XH3" s="133"/>
      <c r="XI3" s="133"/>
      <c r="XJ3" s="133"/>
      <c r="XK3" s="133"/>
      <c r="XL3" s="133"/>
      <c r="XM3" s="133"/>
      <c r="XN3" s="133"/>
      <c r="XO3" s="133"/>
      <c r="XP3" s="133"/>
      <c r="XQ3" s="133"/>
      <c r="XR3" s="133"/>
      <c r="XS3" s="133"/>
      <c r="XT3" s="133"/>
      <c r="XU3" s="133"/>
      <c r="XV3" s="133"/>
      <c r="XW3" s="133"/>
      <c r="XX3" s="133"/>
      <c r="XY3" s="133"/>
      <c r="XZ3" s="133"/>
      <c r="YA3" s="133"/>
      <c r="YB3" s="133"/>
      <c r="YC3" s="133"/>
      <c r="YD3" s="133"/>
      <c r="YE3" s="133"/>
      <c r="YF3" s="133"/>
      <c r="YG3" s="133"/>
      <c r="YH3" s="133"/>
      <c r="YI3" s="133"/>
      <c r="YJ3" s="133"/>
      <c r="YK3" s="133"/>
      <c r="YL3" s="133"/>
      <c r="YM3" s="133"/>
      <c r="YN3" s="133"/>
      <c r="YO3" s="133"/>
      <c r="YP3" s="133"/>
      <c r="YQ3" s="133"/>
      <c r="YR3" s="133"/>
      <c r="YS3" s="133"/>
      <c r="YT3" s="133"/>
      <c r="YU3" s="133"/>
      <c r="YV3" s="133"/>
      <c r="YW3" s="133"/>
      <c r="YX3" s="133"/>
      <c r="YY3" s="133"/>
      <c r="YZ3" s="133"/>
      <c r="ZA3" s="133"/>
      <c r="ZB3" s="133"/>
      <c r="ZC3" s="133"/>
      <c r="ZD3" s="133"/>
      <c r="ZE3" s="133"/>
      <c r="ZF3" s="133"/>
      <c r="ZG3" s="133"/>
      <c r="ZH3" s="133"/>
      <c r="ZI3" s="133"/>
      <c r="ZJ3" s="133"/>
      <c r="ZK3" s="133"/>
      <c r="ZL3" s="133"/>
      <c r="ZM3" s="133"/>
      <c r="ZN3" s="133"/>
      <c r="ZO3" s="133"/>
      <c r="ZP3" s="133"/>
      <c r="ZQ3" s="133"/>
      <c r="ZR3" s="133"/>
      <c r="ZS3" s="133"/>
      <c r="ZT3" s="133"/>
      <c r="ZU3" s="133"/>
      <c r="ZV3" s="133"/>
      <c r="ZW3" s="133"/>
      <c r="ZX3" s="133"/>
      <c r="ZY3" s="133"/>
      <c r="ZZ3" s="133"/>
      <c r="AAA3" s="133"/>
      <c r="AAB3" s="133"/>
      <c r="AAC3" s="133"/>
      <c r="AAD3" s="133"/>
      <c r="AAE3" s="133"/>
      <c r="AAF3" s="133"/>
      <c r="AAG3" s="133"/>
      <c r="AAH3" s="133"/>
      <c r="AAI3" s="133"/>
      <c r="AAJ3" s="133"/>
      <c r="AAK3" s="133"/>
      <c r="AAL3" s="133"/>
      <c r="AAM3" s="133"/>
      <c r="AAN3" s="133"/>
      <c r="AAO3" s="133"/>
      <c r="AAP3" s="133"/>
      <c r="AAQ3" s="133"/>
      <c r="AAR3" s="133"/>
      <c r="AAS3" s="133"/>
      <c r="AAT3" s="133"/>
      <c r="AAU3" s="133"/>
      <c r="AAV3" s="133"/>
      <c r="AAW3" s="133"/>
      <c r="AAX3" s="133"/>
      <c r="AAY3" s="133"/>
      <c r="AAZ3" s="133"/>
      <c r="ABA3" s="133"/>
      <c r="ABB3" s="133"/>
      <c r="ABC3" s="133"/>
      <c r="ABD3" s="133"/>
      <c r="ABE3" s="133"/>
      <c r="ABF3" s="133"/>
      <c r="ABG3" s="133"/>
      <c r="ABH3" s="133"/>
      <c r="ABI3" s="133"/>
      <c r="ABJ3" s="133"/>
      <c r="ABK3" s="133"/>
      <c r="ABL3" s="133"/>
      <c r="ABM3" s="133"/>
      <c r="ABN3" s="133"/>
      <c r="ABO3" s="133"/>
      <c r="ABP3" s="133"/>
      <c r="ABQ3" s="133"/>
      <c r="ABR3" s="133"/>
      <c r="ABS3" s="133"/>
      <c r="ABT3" s="133"/>
      <c r="ABU3" s="133"/>
      <c r="ABV3" s="133"/>
      <c r="ABW3" s="133"/>
      <c r="ABX3" s="133"/>
      <c r="ABY3" s="133"/>
      <c r="ABZ3" s="133"/>
      <c r="ACA3" s="133"/>
      <c r="ACB3" s="133"/>
      <c r="ACC3" s="133"/>
      <c r="ACD3" s="133"/>
      <c r="ACE3" s="133"/>
      <c r="ACF3" s="133"/>
      <c r="ACG3" s="133"/>
      <c r="ACH3" s="133"/>
      <c r="ACI3" s="133"/>
      <c r="ACJ3" s="133"/>
      <c r="ACK3" s="133"/>
      <c r="ACL3" s="133"/>
      <c r="ACM3" s="133"/>
      <c r="ACN3" s="133"/>
      <c r="ACO3" s="133"/>
      <c r="ACP3" s="133"/>
      <c r="ACQ3" s="133"/>
      <c r="ACR3" s="133"/>
      <c r="ACS3" s="133"/>
      <c r="ACT3" s="133"/>
      <c r="ACU3" s="133"/>
      <c r="ACV3" s="133"/>
      <c r="ACW3" s="133"/>
      <c r="ACX3" s="133"/>
      <c r="ACY3" s="133"/>
      <c r="ACZ3" s="133"/>
      <c r="ADA3" s="133"/>
      <c r="ADB3" s="133"/>
      <c r="ADC3" s="133"/>
      <c r="ADD3" s="133"/>
      <c r="ADE3" s="133"/>
      <c r="ADF3" s="133"/>
      <c r="ADG3" s="133"/>
      <c r="ADH3" s="133"/>
      <c r="ADI3" s="133"/>
      <c r="ADJ3" s="133"/>
      <c r="ADK3" s="133"/>
      <c r="ADL3" s="133"/>
      <c r="ADM3" s="133"/>
      <c r="ADN3" s="133"/>
      <c r="ADO3" s="133"/>
      <c r="ADP3" s="133"/>
      <c r="ADQ3" s="133"/>
      <c r="ADR3" s="133"/>
      <c r="ADS3" s="133"/>
      <c r="ADT3" s="133"/>
      <c r="ADU3" s="133"/>
      <c r="ADV3" s="133"/>
      <c r="ADW3" s="133"/>
      <c r="ADX3" s="133"/>
      <c r="ADY3" s="133"/>
      <c r="ADZ3" s="133"/>
      <c r="AEA3" s="133"/>
      <c r="AEB3" s="133"/>
      <c r="AEC3" s="133"/>
      <c r="AED3" s="133"/>
      <c r="AEE3" s="133"/>
      <c r="AEF3" s="133"/>
      <c r="AEG3" s="133"/>
      <c r="AEH3" s="133"/>
      <c r="AEI3" s="133"/>
      <c r="AEJ3" s="133"/>
      <c r="AEK3" s="133"/>
      <c r="AEL3" s="133"/>
      <c r="AEM3" s="133"/>
      <c r="AEN3" s="133"/>
      <c r="AEO3" s="133"/>
      <c r="AEP3" s="133"/>
      <c r="AEQ3" s="133"/>
      <c r="AER3" s="133"/>
      <c r="AES3" s="133"/>
      <c r="AET3" s="133"/>
      <c r="AEU3" s="133"/>
      <c r="AEV3" s="133"/>
      <c r="AEW3" s="133"/>
      <c r="AEX3" s="133"/>
      <c r="AEY3" s="133"/>
      <c r="AEZ3" s="133"/>
      <c r="AFA3" s="133"/>
      <c r="AFB3" s="133"/>
      <c r="AFC3" s="133"/>
      <c r="AFD3" s="133"/>
      <c r="AFE3" s="133"/>
      <c r="AFF3" s="133"/>
      <c r="AFG3" s="133"/>
      <c r="AFH3" s="133"/>
      <c r="AFI3" s="133"/>
      <c r="AFJ3" s="133"/>
      <c r="AFK3" s="133"/>
      <c r="AFL3" s="133"/>
      <c r="AFM3" s="133"/>
      <c r="AFN3" s="133"/>
      <c r="AFO3" s="133"/>
      <c r="AFP3" s="133"/>
      <c r="AFQ3" s="133"/>
      <c r="AFR3" s="133"/>
      <c r="AFS3" s="133"/>
      <c r="AFT3" s="133"/>
      <c r="AFU3" s="133"/>
      <c r="AFV3" s="133"/>
      <c r="AFW3" s="133"/>
      <c r="AFX3" s="133"/>
      <c r="AFY3" s="133"/>
      <c r="AFZ3" s="133"/>
      <c r="AGA3" s="133"/>
      <c r="AGB3" s="133"/>
      <c r="AGC3" s="133"/>
      <c r="AGD3" s="133"/>
      <c r="AGE3" s="133"/>
      <c r="AGF3" s="133"/>
      <c r="AGG3" s="133"/>
      <c r="AGH3" s="133"/>
      <c r="AGI3" s="133"/>
      <c r="AGJ3" s="133"/>
      <c r="AGK3" s="133"/>
      <c r="AGL3" s="133"/>
      <c r="AGM3" s="133"/>
      <c r="AGN3" s="133"/>
      <c r="AGO3" s="133"/>
      <c r="AGP3" s="133"/>
      <c r="AGQ3" s="133"/>
      <c r="AGR3" s="133"/>
      <c r="AGS3" s="133"/>
      <c r="AGT3" s="133"/>
      <c r="AGU3" s="133"/>
      <c r="AGV3" s="133"/>
      <c r="AGW3" s="133"/>
      <c r="AGX3" s="133"/>
      <c r="AGY3" s="133"/>
      <c r="AGZ3" s="133"/>
      <c r="AHA3" s="133"/>
      <c r="AHB3" s="133"/>
      <c r="AHC3" s="133"/>
      <c r="AHD3" s="133"/>
      <c r="AHE3" s="133"/>
      <c r="AHF3" s="133"/>
      <c r="AHG3" s="133"/>
      <c r="AHH3" s="133"/>
      <c r="AHI3" s="133"/>
      <c r="AHJ3" s="133"/>
      <c r="AHK3" s="133"/>
      <c r="AHL3" s="133"/>
      <c r="AHM3" s="133"/>
      <c r="AHN3" s="133"/>
      <c r="AHO3" s="133"/>
      <c r="AHP3" s="133"/>
      <c r="AHQ3" s="133"/>
      <c r="AHR3" s="133"/>
      <c r="AHS3" s="133"/>
      <c r="AHT3" s="133"/>
      <c r="AHU3" s="133"/>
      <c r="AHV3" s="133"/>
      <c r="AHW3" s="133"/>
      <c r="AHX3" s="133"/>
      <c r="AHY3" s="133"/>
      <c r="AHZ3" s="133"/>
      <c r="AIA3" s="133"/>
      <c r="AIB3" s="133"/>
      <c r="AIC3" s="133"/>
      <c r="AID3" s="133"/>
      <c r="AIE3" s="133"/>
      <c r="AIF3" s="133"/>
      <c r="AIG3" s="133"/>
      <c r="AIH3" s="133"/>
      <c r="AII3" s="133"/>
      <c r="AIJ3" s="133"/>
      <c r="AIK3" s="133"/>
      <c r="AIL3" s="133"/>
      <c r="AIM3" s="133"/>
      <c r="AIN3" s="133"/>
      <c r="AIO3" s="133"/>
      <c r="AIP3" s="133"/>
      <c r="AIQ3" s="133"/>
      <c r="AIR3" s="133"/>
      <c r="AIS3" s="133"/>
      <c r="AIT3" s="133"/>
      <c r="AIU3" s="133"/>
      <c r="AIV3" s="133"/>
      <c r="AIW3" s="133"/>
      <c r="AIX3" s="133"/>
      <c r="AIY3" s="133"/>
      <c r="AIZ3" s="133"/>
      <c r="AJA3" s="133"/>
      <c r="AJB3" s="133"/>
      <c r="AJC3" s="133"/>
      <c r="AJD3" s="133"/>
      <c r="AJE3" s="133"/>
      <c r="AJF3" s="133"/>
      <c r="AJG3" s="133"/>
      <c r="AJH3" s="133"/>
      <c r="AJI3" s="133"/>
      <c r="AJJ3" s="133"/>
      <c r="AJK3" s="133"/>
      <c r="AJL3" s="133"/>
      <c r="AJM3" s="133"/>
      <c r="AJN3" s="133"/>
      <c r="AJO3" s="133"/>
      <c r="AJP3" s="133"/>
      <c r="AJQ3" s="133"/>
      <c r="AJR3" s="133"/>
      <c r="AJS3" s="133"/>
      <c r="AJT3" s="133"/>
      <c r="AJU3" s="133"/>
      <c r="AJV3" s="133"/>
      <c r="AJW3" s="133"/>
      <c r="AJX3" s="133"/>
      <c r="AJY3" s="133"/>
      <c r="AJZ3" s="133"/>
      <c r="AKA3" s="133"/>
      <c r="AKB3" s="133"/>
      <c r="AKC3" s="133"/>
      <c r="AKD3" s="133"/>
      <c r="AKE3" s="133"/>
      <c r="AKF3" s="133"/>
      <c r="AKG3" s="133"/>
      <c r="AKH3" s="133"/>
      <c r="AKI3" s="133"/>
      <c r="AKJ3" s="133"/>
      <c r="AKK3" s="133"/>
      <c r="AKL3" s="133"/>
      <c r="AKM3" s="133"/>
      <c r="AKN3" s="133"/>
      <c r="AKO3" s="133"/>
      <c r="AKP3" s="133"/>
      <c r="AKQ3" s="133"/>
      <c r="AKR3" s="133"/>
      <c r="AKS3" s="133"/>
      <c r="AKT3" s="133"/>
      <c r="AKU3" s="133"/>
      <c r="AKV3" s="133"/>
      <c r="AKW3" s="133"/>
      <c r="AKX3" s="133"/>
      <c r="AKY3" s="133"/>
      <c r="AKZ3" s="133"/>
      <c r="ALA3" s="133"/>
      <c r="ALB3" s="133"/>
      <c r="ALC3" s="133"/>
      <c r="ALD3" s="133"/>
      <c r="ALE3" s="133"/>
      <c r="ALF3" s="133"/>
      <c r="ALG3" s="133"/>
      <c r="ALH3" s="133"/>
      <c r="ALI3" s="133"/>
      <c r="ALJ3" s="133"/>
      <c r="ALK3" s="133"/>
      <c r="ALL3" s="133"/>
      <c r="ALM3" s="133"/>
      <c r="ALN3" s="133"/>
      <c r="ALO3" s="133"/>
      <c r="ALP3" s="133"/>
      <c r="ALQ3" s="133"/>
      <c r="ALR3" s="133"/>
      <c r="ALS3" s="133"/>
      <c r="ALT3" s="133"/>
      <c r="ALU3" s="133"/>
      <c r="ALV3" s="133"/>
      <c r="ALW3" s="133"/>
      <c r="ALX3" s="133"/>
      <c r="ALY3" s="133"/>
      <c r="ALZ3" s="133"/>
      <c r="AMA3" s="133"/>
      <c r="AMB3" s="133"/>
      <c r="AMC3" s="133"/>
      <c r="AMD3" s="133"/>
      <c r="AME3" s="133"/>
      <c r="AMF3" s="133"/>
      <c r="AMG3" s="133"/>
      <c r="AMH3" s="133"/>
      <c r="AMI3" s="133"/>
      <c r="AMJ3" s="133"/>
      <c r="AMK3" s="133"/>
      <c r="AML3" s="133"/>
      <c r="AMM3" s="133"/>
      <c r="AMN3" s="133"/>
      <c r="AMO3" s="133"/>
      <c r="AMP3" s="133"/>
      <c r="AMQ3" s="133"/>
      <c r="AMR3" s="133"/>
      <c r="AMS3" s="133"/>
      <c r="AMT3" s="133"/>
      <c r="AMU3" s="133"/>
      <c r="AMV3" s="133"/>
      <c r="AMW3" s="133"/>
      <c r="AMX3" s="133"/>
      <c r="AMY3" s="133"/>
      <c r="AMZ3" s="133"/>
      <c r="ANA3" s="133"/>
      <c r="ANB3" s="133"/>
      <c r="ANC3" s="133"/>
      <c r="AND3" s="133"/>
      <c r="ANE3" s="133"/>
      <c r="ANF3" s="133"/>
      <c r="ANG3" s="133"/>
      <c r="ANH3" s="133"/>
      <c r="ANI3" s="133"/>
      <c r="ANJ3" s="133"/>
      <c r="ANK3" s="133"/>
      <c r="ANL3" s="133"/>
      <c r="ANM3" s="133"/>
      <c r="ANN3" s="133"/>
      <c r="ANO3" s="133"/>
      <c r="ANP3" s="133"/>
      <c r="ANQ3" s="133"/>
      <c r="ANR3" s="133"/>
      <c r="ANS3" s="133"/>
      <c r="ANT3" s="133"/>
      <c r="ANU3" s="133"/>
      <c r="ANV3" s="133"/>
      <c r="ANW3" s="133"/>
      <c r="ANX3" s="133"/>
      <c r="ANY3" s="133"/>
      <c r="ANZ3" s="133"/>
      <c r="AOA3" s="133"/>
      <c r="AOB3" s="133"/>
      <c r="AOC3" s="133"/>
      <c r="AOD3" s="133"/>
      <c r="AOE3" s="133"/>
      <c r="AOF3" s="133"/>
      <c r="AOG3" s="133"/>
      <c r="AOH3" s="133"/>
      <c r="AOI3" s="133"/>
      <c r="AOJ3" s="133"/>
      <c r="AOK3" s="133"/>
      <c r="AOL3" s="133"/>
      <c r="AOM3" s="133"/>
      <c r="AON3" s="133"/>
      <c r="AOO3" s="133"/>
      <c r="AOP3" s="133"/>
      <c r="AOQ3" s="133"/>
      <c r="AOR3" s="133"/>
      <c r="AOS3" s="133"/>
      <c r="AOT3" s="133"/>
      <c r="AOU3" s="133"/>
      <c r="AOV3" s="133"/>
      <c r="AOW3" s="133"/>
      <c r="AOX3" s="133"/>
      <c r="AOY3" s="133"/>
      <c r="AOZ3" s="133"/>
      <c r="APA3" s="133"/>
      <c r="APB3" s="133"/>
      <c r="APC3" s="133"/>
      <c r="APD3" s="133"/>
      <c r="APE3" s="133"/>
      <c r="APF3" s="133"/>
      <c r="APG3" s="133"/>
      <c r="APH3" s="133"/>
      <c r="API3" s="133"/>
      <c r="APJ3" s="133"/>
      <c r="APK3" s="133"/>
      <c r="APL3" s="133"/>
      <c r="APM3" s="133"/>
      <c r="APN3" s="133"/>
      <c r="APO3" s="133"/>
      <c r="APP3" s="133"/>
      <c r="APQ3" s="133"/>
      <c r="APR3" s="133"/>
      <c r="APS3" s="133"/>
      <c r="APT3" s="133"/>
      <c r="APU3" s="133"/>
      <c r="APV3" s="133"/>
      <c r="APW3" s="133"/>
      <c r="APX3" s="133"/>
      <c r="APY3" s="133"/>
      <c r="APZ3" s="133"/>
      <c r="AQA3" s="133"/>
      <c r="AQB3" s="133"/>
      <c r="AQC3" s="133"/>
      <c r="AQD3" s="133"/>
      <c r="AQE3" s="133"/>
      <c r="AQF3" s="133"/>
      <c r="AQG3" s="133"/>
      <c r="AQH3" s="133"/>
      <c r="AQI3" s="133"/>
      <c r="AQJ3" s="133"/>
      <c r="AQK3" s="133"/>
      <c r="AQL3" s="133"/>
      <c r="AQM3" s="133"/>
      <c r="AQN3" s="133"/>
      <c r="AQO3" s="133"/>
      <c r="AQP3" s="133"/>
      <c r="AQQ3" s="133"/>
      <c r="AQR3" s="133"/>
      <c r="AQS3" s="133"/>
      <c r="AQT3" s="133"/>
      <c r="AQU3" s="133"/>
      <c r="AQV3" s="133"/>
      <c r="AQW3" s="133"/>
      <c r="AQX3" s="133"/>
      <c r="AQY3" s="133"/>
      <c r="AQZ3" s="133"/>
      <c r="ARA3" s="133"/>
      <c r="ARB3" s="133"/>
      <c r="ARC3" s="133"/>
      <c r="ARD3" s="133"/>
      <c r="ARE3" s="133"/>
      <c r="ARF3" s="133"/>
      <c r="ARG3" s="133"/>
      <c r="ARH3" s="133"/>
      <c r="ARI3" s="133"/>
      <c r="ARJ3" s="133"/>
      <c r="ARK3" s="133"/>
      <c r="ARL3" s="133"/>
      <c r="ARM3" s="133"/>
      <c r="ARN3" s="133"/>
      <c r="ARO3" s="133"/>
      <c r="ARP3" s="133"/>
      <c r="ARQ3" s="133"/>
      <c r="ARR3" s="133"/>
      <c r="ARS3" s="133"/>
      <c r="ART3" s="133"/>
      <c r="ARU3" s="133"/>
      <c r="ARV3" s="133"/>
      <c r="ARW3" s="133"/>
      <c r="ARX3" s="133"/>
      <c r="ARY3" s="133"/>
      <c r="ARZ3" s="133"/>
      <c r="ASA3" s="133"/>
      <c r="ASB3" s="133"/>
      <c r="ASC3" s="133"/>
      <c r="ASD3" s="133"/>
      <c r="ASE3" s="133"/>
      <c r="ASF3" s="133"/>
      <c r="ASG3" s="133"/>
      <c r="ASH3" s="133"/>
      <c r="ASI3" s="133"/>
      <c r="ASJ3" s="133"/>
      <c r="ASK3" s="133"/>
      <c r="ASL3" s="133"/>
      <c r="ASM3" s="133"/>
      <c r="ASN3" s="133"/>
      <c r="ASO3" s="133"/>
      <c r="ASP3" s="133"/>
      <c r="ASQ3" s="133"/>
      <c r="ASR3" s="133"/>
      <c r="ASS3" s="133"/>
      <c r="AST3" s="133"/>
      <c r="ASU3" s="133"/>
      <c r="ASV3" s="133"/>
      <c r="ASW3" s="133"/>
      <c r="ASX3" s="133"/>
      <c r="ASY3" s="133"/>
      <c r="ASZ3" s="133"/>
      <c r="ATA3" s="133"/>
      <c r="ATB3" s="133"/>
      <c r="ATC3" s="133"/>
      <c r="ATD3" s="133"/>
      <c r="ATE3" s="133"/>
      <c r="ATF3" s="133"/>
      <c r="ATG3" s="133"/>
      <c r="ATH3" s="133"/>
      <c r="ATI3" s="133"/>
      <c r="ATJ3" s="133"/>
      <c r="ATK3" s="133"/>
      <c r="ATL3" s="133"/>
      <c r="ATM3" s="133"/>
      <c r="ATN3" s="133"/>
      <c r="ATO3" s="133"/>
      <c r="ATP3" s="133"/>
      <c r="ATQ3" s="133"/>
      <c r="ATR3" s="133"/>
      <c r="ATS3" s="133"/>
      <c r="ATT3" s="133"/>
      <c r="ATU3" s="133"/>
      <c r="ATV3" s="133"/>
      <c r="ATW3" s="133"/>
      <c r="ATX3" s="133"/>
      <c r="ATY3" s="133"/>
      <c r="ATZ3" s="133"/>
      <c r="AUA3" s="133"/>
      <c r="AUB3" s="133"/>
      <c r="AUC3" s="133"/>
      <c r="AUD3" s="133"/>
      <c r="AUE3" s="133"/>
      <c r="AUF3" s="133"/>
      <c r="AUG3" s="133"/>
      <c r="AUH3" s="133"/>
      <c r="AUI3" s="133"/>
      <c r="AUJ3" s="133"/>
      <c r="AUK3" s="133"/>
      <c r="AUL3" s="133"/>
      <c r="AUM3" s="133"/>
      <c r="AUN3" s="133"/>
      <c r="AUO3" s="133"/>
      <c r="AUP3" s="133"/>
      <c r="AUQ3" s="133"/>
      <c r="AUR3" s="133"/>
      <c r="AUS3" s="133"/>
      <c r="AUT3" s="133"/>
      <c r="AUU3" s="133"/>
      <c r="AUV3" s="133"/>
      <c r="AUW3" s="133"/>
      <c r="AUX3" s="133"/>
      <c r="AUY3" s="133"/>
      <c r="AUZ3" s="133"/>
      <c r="AVA3" s="133"/>
      <c r="AVB3" s="133"/>
      <c r="AVC3" s="133"/>
      <c r="AVD3" s="133"/>
      <c r="AVE3" s="133"/>
      <c r="AVF3" s="133"/>
      <c r="AVG3" s="133"/>
      <c r="AVH3" s="133"/>
      <c r="AVI3" s="133"/>
      <c r="AVJ3" s="133"/>
      <c r="AVK3" s="133"/>
      <c r="AVL3" s="133"/>
      <c r="AVM3" s="133"/>
      <c r="AVN3" s="133"/>
      <c r="AVO3" s="133"/>
      <c r="AVP3" s="133"/>
      <c r="AVQ3" s="133"/>
      <c r="AVR3" s="133"/>
      <c r="AVS3" s="133"/>
      <c r="AVT3" s="133"/>
      <c r="AVU3" s="133"/>
      <c r="AVV3" s="133"/>
      <c r="AVW3" s="133"/>
      <c r="AVX3" s="133"/>
      <c r="AVY3" s="133"/>
      <c r="AVZ3" s="133"/>
      <c r="AWA3" s="133"/>
      <c r="AWB3" s="133"/>
      <c r="AWC3" s="133"/>
      <c r="AWD3" s="133"/>
      <c r="AWE3" s="133"/>
      <c r="AWF3" s="133"/>
      <c r="AWG3" s="133"/>
      <c r="AWH3" s="133"/>
      <c r="AWI3" s="133"/>
      <c r="AWJ3" s="133"/>
      <c r="AWK3" s="133"/>
      <c r="AWL3" s="133"/>
      <c r="AWM3" s="133"/>
      <c r="AWN3" s="133"/>
      <c r="AWO3" s="133"/>
      <c r="AWP3" s="133"/>
      <c r="AWQ3" s="133"/>
      <c r="AWR3" s="133"/>
      <c r="AWS3" s="133"/>
      <c r="AWT3" s="133"/>
      <c r="AWU3" s="133"/>
      <c r="AWV3" s="133"/>
      <c r="AWW3" s="133"/>
      <c r="AWX3" s="133"/>
      <c r="AWY3" s="133"/>
      <c r="AWZ3" s="133"/>
      <c r="AXA3" s="133"/>
      <c r="AXB3" s="133"/>
      <c r="AXC3" s="133"/>
      <c r="AXD3" s="133"/>
      <c r="AXE3" s="133"/>
      <c r="AXF3" s="133"/>
      <c r="AXG3" s="133"/>
      <c r="AXH3" s="133"/>
      <c r="AXI3" s="133"/>
      <c r="AXJ3" s="133"/>
      <c r="AXK3" s="133"/>
      <c r="AXL3" s="133"/>
      <c r="AXM3" s="133"/>
      <c r="AXN3" s="133"/>
      <c r="AXO3" s="133"/>
      <c r="AXP3" s="133"/>
      <c r="AXQ3" s="133"/>
      <c r="AXR3" s="133"/>
      <c r="AXS3" s="133"/>
      <c r="AXT3" s="133"/>
      <c r="AXU3" s="133"/>
      <c r="AXV3" s="133"/>
      <c r="AXW3" s="133"/>
      <c r="AXX3" s="133"/>
      <c r="AXY3" s="133"/>
      <c r="AXZ3" s="133"/>
      <c r="AYA3" s="133"/>
      <c r="AYB3" s="133"/>
      <c r="AYC3" s="133"/>
      <c r="AYD3" s="133"/>
      <c r="AYE3" s="133"/>
      <c r="AYF3" s="133"/>
      <c r="AYG3" s="133"/>
      <c r="AYH3" s="133"/>
      <c r="AYI3" s="133"/>
      <c r="AYJ3" s="133"/>
      <c r="AYK3" s="133"/>
      <c r="AYL3" s="133"/>
      <c r="AYM3" s="133"/>
      <c r="AYN3" s="133"/>
      <c r="AYO3" s="133"/>
      <c r="AYP3" s="133"/>
      <c r="AYQ3" s="133"/>
      <c r="AYR3" s="133"/>
      <c r="AYS3" s="133"/>
      <c r="AYT3" s="133"/>
      <c r="AYU3" s="133"/>
      <c r="AYV3" s="133"/>
      <c r="AYW3" s="133"/>
      <c r="AYX3" s="133"/>
      <c r="AYY3" s="133"/>
      <c r="AYZ3" s="133"/>
      <c r="AZA3" s="133"/>
      <c r="AZB3" s="133"/>
      <c r="AZC3" s="133"/>
      <c r="AZD3" s="133"/>
      <c r="AZE3" s="133"/>
      <c r="AZF3" s="133"/>
      <c r="AZG3" s="133"/>
      <c r="AZH3" s="133"/>
      <c r="AZI3" s="133"/>
      <c r="AZJ3" s="133"/>
      <c r="AZK3" s="133"/>
      <c r="AZL3" s="133"/>
      <c r="AZM3" s="133"/>
      <c r="AZN3" s="133"/>
      <c r="AZO3" s="133"/>
      <c r="AZP3" s="133"/>
      <c r="AZQ3" s="133"/>
      <c r="AZR3" s="133"/>
      <c r="AZS3" s="133"/>
      <c r="AZT3" s="133"/>
      <c r="AZU3" s="133"/>
      <c r="AZV3" s="133"/>
      <c r="AZW3" s="133"/>
      <c r="AZX3" s="133"/>
      <c r="AZY3" s="133"/>
      <c r="AZZ3" s="133"/>
      <c r="BAA3" s="133"/>
      <c r="BAB3" s="133"/>
      <c r="BAC3" s="133"/>
      <c r="BAD3" s="133"/>
      <c r="BAE3" s="133"/>
      <c r="BAF3" s="133"/>
      <c r="BAG3" s="133"/>
      <c r="BAH3" s="133"/>
      <c r="BAI3" s="133"/>
      <c r="BAJ3" s="133"/>
      <c r="BAK3" s="133"/>
      <c r="BAL3" s="133"/>
      <c r="BAM3" s="133"/>
      <c r="BAN3" s="133"/>
      <c r="BAO3" s="133"/>
      <c r="BAP3" s="133"/>
      <c r="BAQ3" s="133"/>
      <c r="BAR3" s="133"/>
      <c r="BAS3" s="133"/>
      <c r="BAT3" s="133"/>
      <c r="BAU3" s="133"/>
      <c r="BAV3" s="133"/>
      <c r="BAW3" s="133"/>
      <c r="BAX3" s="133"/>
      <c r="BAY3" s="133"/>
      <c r="BAZ3" s="133"/>
      <c r="BBA3" s="133"/>
      <c r="BBB3" s="133"/>
      <c r="BBC3" s="133"/>
      <c r="BBD3" s="133"/>
      <c r="BBE3" s="133"/>
      <c r="BBF3" s="133"/>
      <c r="BBG3" s="133"/>
      <c r="BBH3" s="133"/>
      <c r="BBI3" s="133"/>
      <c r="BBJ3" s="133"/>
      <c r="BBK3" s="133"/>
      <c r="BBL3" s="133"/>
      <c r="BBM3" s="133"/>
      <c r="BBN3" s="133"/>
      <c r="BBO3" s="133"/>
      <c r="BBP3" s="133"/>
      <c r="BBQ3" s="133"/>
      <c r="BBR3" s="133"/>
      <c r="BBS3" s="133"/>
      <c r="BBT3" s="133"/>
      <c r="BBU3" s="133"/>
      <c r="BBV3" s="133"/>
      <c r="BBW3" s="133"/>
      <c r="BBX3" s="133"/>
      <c r="BBY3" s="133"/>
      <c r="BBZ3" s="133"/>
      <c r="BCA3" s="133"/>
      <c r="BCB3" s="133"/>
      <c r="BCC3" s="133"/>
      <c r="BCD3" s="133"/>
      <c r="BCE3" s="133"/>
      <c r="BCF3" s="133"/>
      <c r="BCG3" s="133"/>
      <c r="BCH3" s="133"/>
      <c r="BCI3" s="133"/>
      <c r="BCJ3" s="133"/>
      <c r="BCK3" s="133"/>
      <c r="BCL3" s="133"/>
      <c r="BCM3" s="133"/>
      <c r="BCN3" s="133"/>
      <c r="BCO3" s="133"/>
      <c r="BCP3" s="133"/>
      <c r="BCQ3" s="133"/>
      <c r="BCR3" s="133"/>
      <c r="BCS3" s="133"/>
      <c r="BCT3" s="133"/>
      <c r="BCU3" s="133"/>
      <c r="BCV3" s="133"/>
      <c r="BCW3" s="133"/>
      <c r="BCX3" s="133"/>
      <c r="BCY3" s="133"/>
      <c r="BCZ3" s="133"/>
      <c r="BDA3" s="133"/>
      <c r="BDB3" s="133"/>
      <c r="BDC3" s="133"/>
      <c r="BDD3" s="133"/>
      <c r="BDE3" s="133"/>
      <c r="BDF3" s="133"/>
      <c r="BDG3" s="133"/>
      <c r="BDH3" s="133"/>
      <c r="BDI3" s="133"/>
      <c r="BDJ3" s="133"/>
      <c r="BDK3" s="133"/>
      <c r="BDL3" s="133"/>
      <c r="BDM3" s="133"/>
      <c r="BDN3" s="133"/>
      <c r="BDO3" s="133"/>
      <c r="BDP3" s="133"/>
      <c r="BDQ3" s="133"/>
      <c r="BDR3" s="133"/>
      <c r="BDS3" s="133"/>
      <c r="BDT3" s="133"/>
      <c r="BDU3" s="133"/>
      <c r="BDV3" s="133"/>
      <c r="BDW3" s="133"/>
      <c r="BDX3" s="133"/>
      <c r="BDY3" s="133"/>
      <c r="BDZ3" s="133"/>
      <c r="BEA3" s="133"/>
      <c r="BEB3" s="133"/>
      <c r="BEC3" s="133"/>
      <c r="BED3" s="133"/>
      <c r="BEE3" s="133"/>
      <c r="BEF3" s="133"/>
      <c r="BEG3" s="133"/>
      <c r="BEH3" s="133"/>
      <c r="BEI3" s="133"/>
      <c r="BEJ3" s="133"/>
      <c r="BEK3" s="133"/>
      <c r="BEL3" s="133"/>
      <c r="BEM3" s="133"/>
      <c r="BEN3" s="133"/>
      <c r="BEO3" s="133"/>
      <c r="BEP3" s="133"/>
      <c r="BEQ3" s="133"/>
      <c r="BER3" s="133"/>
      <c r="BES3" s="133"/>
      <c r="BET3" s="133"/>
      <c r="BEU3" s="133"/>
      <c r="BEV3" s="133"/>
      <c r="BEW3" s="133"/>
      <c r="BEX3" s="133"/>
      <c r="BEY3" s="133"/>
      <c r="BEZ3" s="133"/>
      <c r="BFA3" s="133"/>
      <c r="BFB3" s="133"/>
      <c r="BFC3" s="133"/>
      <c r="BFD3" s="133"/>
      <c r="BFE3" s="133"/>
      <c r="BFF3" s="133"/>
      <c r="BFG3" s="133"/>
      <c r="BFH3" s="133"/>
      <c r="BFI3" s="133"/>
      <c r="BFJ3" s="133"/>
      <c r="BFK3" s="133"/>
      <c r="BFL3" s="133"/>
      <c r="BFM3" s="133"/>
      <c r="BFN3" s="133"/>
      <c r="BFO3" s="133"/>
      <c r="BFP3" s="133"/>
      <c r="BFQ3" s="133"/>
      <c r="BFR3" s="133"/>
      <c r="BFS3" s="133"/>
      <c r="BFT3" s="133"/>
      <c r="BFU3" s="133"/>
      <c r="BFV3" s="133"/>
      <c r="BFW3" s="133"/>
      <c r="BFX3" s="133"/>
      <c r="BFY3" s="133"/>
      <c r="BFZ3" s="133"/>
      <c r="BGA3" s="133"/>
      <c r="BGB3" s="133"/>
      <c r="BGC3" s="133"/>
      <c r="BGD3" s="133"/>
      <c r="BGE3" s="133"/>
      <c r="BGF3" s="133"/>
      <c r="BGG3" s="133"/>
      <c r="BGH3" s="133"/>
      <c r="BGI3" s="133"/>
      <c r="BGJ3" s="133"/>
      <c r="BGK3" s="133"/>
      <c r="BGL3" s="133"/>
      <c r="BGM3" s="133"/>
      <c r="BGN3" s="133"/>
      <c r="BGO3" s="133"/>
      <c r="BGP3" s="133"/>
      <c r="BGQ3" s="133"/>
      <c r="BGR3" s="133"/>
      <c r="BGS3" s="133"/>
      <c r="BGT3" s="133"/>
      <c r="BGU3" s="133"/>
      <c r="BGV3" s="133"/>
      <c r="BGW3" s="133"/>
      <c r="BGX3" s="133"/>
      <c r="BGY3" s="133"/>
      <c r="BGZ3" s="133"/>
      <c r="BHA3" s="133"/>
      <c r="BHB3" s="133"/>
      <c r="BHC3" s="133"/>
      <c r="BHD3" s="133"/>
      <c r="BHE3" s="133"/>
      <c r="BHF3" s="133"/>
      <c r="BHG3" s="133"/>
      <c r="BHH3" s="133"/>
      <c r="BHI3" s="133"/>
      <c r="BHJ3" s="133"/>
      <c r="BHK3" s="133"/>
      <c r="BHL3" s="133"/>
      <c r="BHM3" s="133"/>
      <c r="BHN3" s="133"/>
      <c r="BHO3" s="133"/>
      <c r="BHP3" s="133"/>
      <c r="BHQ3" s="133"/>
      <c r="BHR3" s="133"/>
      <c r="BHS3" s="133"/>
      <c r="BHT3" s="133"/>
      <c r="BHU3" s="133"/>
      <c r="BHV3" s="133"/>
      <c r="BHW3" s="133"/>
      <c r="BHX3" s="133"/>
      <c r="BHY3" s="133"/>
      <c r="BHZ3" s="133"/>
      <c r="BIA3" s="133"/>
      <c r="BIB3" s="133"/>
      <c r="BIC3" s="133"/>
      <c r="BID3" s="133"/>
      <c r="BIE3" s="133"/>
      <c r="BIF3" s="133"/>
      <c r="BIG3" s="133"/>
      <c r="BIH3" s="133"/>
      <c r="BII3" s="133"/>
      <c r="BIJ3" s="133"/>
      <c r="BIK3" s="133"/>
      <c r="BIL3" s="133"/>
      <c r="BIM3" s="133"/>
      <c r="BIN3" s="133"/>
      <c r="BIO3" s="133"/>
      <c r="BIP3" s="133"/>
      <c r="BIQ3" s="133"/>
      <c r="BIR3" s="133"/>
      <c r="BIS3" s="133"/>
      <c r="BIT3" s="133"/>
      <c r="BIU3" s="133"/>
      <c r="BIV3" s="133"/>
      <c r="BIW3" s="133"/>
      <c r="BIX3" s="133"/>
      <c r="BIY3" s="133"/>
      <c r="BIZ3" s="133"/>
      <c r="BJA3" s="133"/>
      <c r="BJB3" s="133"/>
      <c r="BJC3" s="133"/>
      <c r="BJD3" s="133"/>
      <c r="BJE3" s="133"/>
      <c r="BJF3" s="133"/>
      <c r="BJG3" s="133"/>
      <c r="BJH3" s="133"/>
      <c r="BJI3" s="133"/>
      <c r="BJJ3" s="133"/>
      <c r="BJK3" s="133"/>
      <c r="BJL3" s="133"/>
      <c r="BJM3" s="133"/>
      <c r="BJN3" s="133"/>
      <c r="BJO3" s="133"/>
      <c r="BJP3" s="133"/>
      <c r="BJQ3" s="133"/>
      <c r="BJR3" s="133"/>
      <c r="BJS3" s="133"/>
      <c r="BJT3" s="133"/>
      <c r="BJU3" s="133"/>
      <c r="BJV3" s="133"/>
      <c r="BJW3" s="133"/>
      <c r="BJX3" s="133"/>
      <c r="BJY3" s="133"/>
      <c r="BJZ3" s="133"/>
      <c r="BKA3" s="133"/>
      <c r="BKB3" s="133"/>
      <c r="BKC3" s="133"/>
      <c r="BKD3" s="133"/>
      <c r="BKE3" s="133"/>
      <c r="BKF3" s="133"/>
      <c r="BKG3" s="133"/>
      <c r="BKH3" s="133"/>
      <c r="BKI3" s="133"/>
      <c r="BKJ3" s="133"/>
      <c r="BKK3" s="133"/>
      <c r="BKL3" s="133"/>
      <c r="BKM3" s="133"/>
      <c r="BKN3" s="133"/>
      <c r="BKO3" s="133"/>
      <c r="BKP3" s="133"/>
      <c r="BKQ3" s="133"/>
      <c r="BKR3" s="133"/>
      <c r="BKS3" s="133"/>
      <c r="BKT3" s="133"/>
      <c r="BKU3" s="133"/>
      <c r="BKV3" s="133"/>
      <c r="BKW3" s="133"/>
      <c r="BKX3" s="133"/>
      <c r="BKY3" s="133"/>
      <c r="BKZ3" s="133"/>
      <c r="BLA3" s="133"/>
      <c r="BLB3" s="133"/>
      <c r="BLC3" s="133"/>
      <c r="BLD3" s="133"/>
      <c r="BLE3" s="133"/>
      <c r="BLF3" s="133"/>
      <c r="BLG3" s="133"/>
      <c r="BLH3" s="133"/>
      <c r="BLI3" s="133"/>
      <c r="BLJ3" s="133"/>
      <c r="BLK3" s="133"/>
      <c r="BLL3" s="133"/>
      <c r="BLM3" s="133"/>
      <c r="BLN3" s="133"/>
      <c r="BLO3" s="133"/>
      <c r="BLP3" s="133"/>
      <c r="BLQ3" s="133"/>
      <c r="BLR3" s="133"/>
      <c r="BLS3" s="133"/>
      <c r="BLT3" s="133"/>
      <c r="BLU3" s="133"/>
      <c r="BLV3" s="133"/>
      <c r="BLW3" s="133"/>
      <c r="BLX3" s="133"/>
      <c r="BLY3" s="133"/>
      <c r="BLZ3" s="133"/>
      <c r="BMA3" s="133"/>
      <c r="BMB3" s="133"/>
      <c r="BMC3" s="133"/>
      <c r="BMD3" s="133"/>
      <c r="BME3" s="133"/>
      <c r="BMF3" s="133"/>
      <c r="BMG3" s="133"/>
      <c r="BMH3" s="133"/>
      <c r="BMI3" s="133"/>
      <c r="BMJ3" s="133"/>
      <c r="BMK3" s="133"/>
      <c r="BML3" s="133"/>
      <c r="BMM3" s="133"/>
      <c r="BMN3" s="133"/>
      <c r="BMO3" s="133"/>
      <c r="BMP3" s="133"/>
      <c r="BMQ3" s="133"/>
      <c r="BMR3" s="133"/>
      <c r="BMS3" s="133"/>
      <c r="BMT3" s="133"/>
      <c r="BMU3" s="133"/>
      <c r="BMV3" s="133"/>
      <c r="BMW3" s="133"/>
      <c r="BMX3" s="133"/>
      <c r="BMY3" s="133"/>
      <c r="BMZ3" s="133"/>
      <c r="BNA3" s="133"/>
      <c r="BNB3" s="133"/>
      <c r="BNC3" s="133"/>
      <c r="BND3" s="133"/>
      <c r="BNE3" s="133"/>
      <c r="BNF3" s="133"/>
      <c r="BNG3" s="133"/>
      <c r="BNH3" s="133"/>
      <c r="BNI3" s="133"/>
      <c r="BNJ3" s="133"/>
      <c r="BNK3" s="133"/>
      <c r="BNL3" s="133"/>
      <c r="BNM3" s="133"/>
      <c r="BNN3" s="133"/>
      <c r="BNO3" s="133"/>
      <c r="BNP3" s="133"/>
      <c r="BNQ3" s="133"/>
      <c r="BNR3" s="133"/>
      <c r="BNS3" s="133"/>
      <c r="BNT3" s="133"/>
      <c r="BNU3" s="133"/>
      <c r="BNV3" s="133"/>
      <c r="BNW3" s="133"/>
      <c r="BNX3" s="133"/>
      <c r="BNY3" s="133"/>
      <c r="BNZ3" s="133"/>
      <c r="BOA3" s="133"/>
      <c r="BOB3" s="133"/>
      <c r="BOC3" s="133"/>
      <c r="BOD3" s="133"/>
      <c r="BOE3" s="133"/>
      <c r="BOF3" s="133"/>
      <c r="BOG3" s="133"/>
      <c r="BOH3" s="133"/>
      <c r="BOI3" s="133"/>
      <c r="BOJ3" s="133"/>
      <c r="BOK3" s="133"/>
      <c r="BOL3" s="133"/>
      <c r="BOM3" s="133"/>
      <c r="BON3" s="133"/>
      <c r="BOO3" s="133"/>
      <c r="BOP3" s="133"/>
      <c r="BOQ3" s="133"/>
      <c r="BOR3" s="133"/>
      <c r="BOS3" s="133"/>
      <c r="BOT3" s="133"/>
      <c r="BOU3" s="133"/>
      <c r="BOV3" s="133"/>
      <c r="BOW3" s="133"/>
      <c r="BOX3" s="133"/>
      <c r="BOY3" s="133"/>
      <c r="BOZ3" s="133"/>
      <c r="BPA3" s="133"/>
      <c r="BPB3" s="133"/>
      <c r="BPC3" s="133"/>
      <c r="BPD3" s="133"/>
      <c r="BPE3" s="133"/>
      <c r="BPF3" s="133"/>
      <c r="BPG3" s="133"/>
      <c r="BPH3" s="133"/>
      <c r="BPI3" s="133"/>
      <c r="BPJ3" s="133"/>
      <c r="BPK3" s="133"/>
      <c r="BPL3" s="133"/>
      <c r="BPM3" s="133"/>
      <c r="BPN3" s="133"/>
      <c r="BPO3" s="133"/>
      <c r="BPP3" s="133"/>
      <c r="BPQ3" s="133"/>
      <c r="BPR3" s="133"/>
      <c r="BPS3" s="133"/>
      <c r="BPT3" s="133"/>
      <c r="BPU3" s="133"/>
      <c r="BPV3" s="133"/>
      <c r="BPW3" s="133"/>
      <c r="BPX3" s="133"/>
      <c r="BPY3" s="133"/>
      <c r="BPZ3" s="133"/>
      <c r="BQA3" s="133"/>
      <c r="BQB3" s="133"/>
      <c r="BQC3" s="133"/>
      <c r="BQD3" s="133"/>
      <c r="BQE3" s="133"/>
      <c r="BQF3" s="133"/>
      <c r="BQG3" s="133"/>
      <c r="BQH3" s="133"/>
      <c r="BQI3" s="133"/>
      <c r="BQJ3" s="133"/>
      <c r="BQK3" s="133"/>
      <c r="BQL3" s="133"/>
      <c r="BQM3" s="133"/>
      <c r="BQN3" s="133"/>
      <c r="BQO3" s="133"/>
      <c r="BQP3" s="133"/>
      <c r="BQQ3" s="133"/>
      <c r="BQR3" s="133"/>
      <c r="BQS3" s="133"/>
      <c r="BQT3" s="133"/>
      <c r="BQU3" s="133"/>
      <c r="BQV3" s="133"/>
      <c r="BQW3" s="133"/>
      <c r="BQX3" s="133"/>
      <c r="BQY3" s="133"/>
      <c r="BQZ3" s="133"/>
      <c r="BRA3" s="133"/>
      <c r="BRB3" s="133"/>
      <c r="BRC3" s="133"/>
      <c r="BRD3" s="133"/>
      <c r="BRE3" s="133"/>
      <c r="BRF3" s="133"/>
      <c r="BRG3" s="133"/>
      <c r="BRH3" s="133"/>
      <c r="BRI3" s="133"/>
      <c r="BRJ3" s="133"/>
      <c r="BRK3" s="133"/>
      <c r="BRL3" s="133"/>
      <c r="BRM3" s="133"/>
      <c r="BRN3" s="133"/>
      <c r="BRO3" s="133"/>
      <c r="BRP3" s="133"/>
      <c r="BRQ3" s="133"/>
      <c r="BRR3" s="133"/>
      <c r="BRS3" s="133"/>
      <c r="BRT3" s="133"/>
      <c r="BRU3" s="133"/>
      <c r="BRV3" s="133"/>
      <c r="BRW3" s="133"/>
      <c r="BRX3" s="133"/>
      <c r="BRY3" s="133"/>
      <c r="BRZ3" s="133"/>
      <c r="BSA3" s="133"/>
      <c r="BSB3" s="133"/>
      <c r="BSC3" s="133"/>
      <c r="BSD3" s="133"/>
      <c r="BSE3" s="133"/>
      <c r="BSF3" s="133"/>
      <c r="BSG3" s="133"/>
      <c r="BSH3" s="133"/>
      <c r="BSI3" s="133"/>
      <c r="BSJ3" s="133"/>
      <c r="BSK3" s="133"/>
      <c r="BSL3" s="133"/>
      <c r="BSM3" s="133"/>
      <c r="BSN3" s="133"/>
      <c r="BSO3" s="133"/>
      <c r="BSP3" s="133"/>
      <c r="BSQ3" s="133"/>
      <c r="BSR3" s="133"/>
      <c r="BSS3" s="133"/>
      <c r="BST3" s="133"/>
      <c r="BSU3" s="133"/>
      <c r="BSV3" s="133"/>
      <c r="BSW3" s="133"/>
      <c r="BSX3" s="133"/>
      <c r="BSY3" s="133"/>
      <c r="BSZ3" s="133"/>
      <c r="BTA3" s="133"/>
      <c r="BTB3" s="133"/>
      <c r="BTC3" s="133"/>
      <c r="BTD3" s="133"/>
      <c r="BTE3" s="133"/>
      <c r="BTF3" s="133"/>
      <c r="BTG3" s="133"/>
      <c r="BTH3" s="133"/>
      <c r="BTI3" s="133"/>
      <c r="BTJ3" s="133"/>
      <c r="BTK3" s="133"/>
      <c r="BTL3" s="133"/>
      <c r="BTM3" s="133"/>
      <c r="BTN3" s="133"/>
      <c r="BTO3" s="133"/>
      <c r="BTP3" s="133"/>
      <c r="BTQ3" s="133"/>
      <c r="BTR3" s="133"/>
      <c r="BTS3" s="133"/>
      <c r="BTT3" s="133"/>
      <c r="BTU3" s="133"/>
      <c r="BTV3" s="133"/>
      <c r="BTW3" s="133"/>
      <c r="BTX3" s="133"/>
      <c r="BTY3" s="133"/>
      <c r="BTZ3" s="133"/>
      <c r="BUA3" s="133"/>
      <c r="BUB3" s="133"/>
      <c r="BUC3" s="133"/>
      <c r="BUD3" s="133"/>
      <c r="BUE3" s="133"/>
      <c r="BUF3" s="133"/>
      <c r="BUG3" s="133"/>
      <c r="BUH3" s="133"/>
      <c r="BUI3" s="133"/>
      <c r="BUJ3" s="133"/>
      <c r="BUK3" s="133"/>
      <c r="BUL3" s="133"/>
      <c r="BUM3" s="133"/>
      <c r="BUN3" s="133"/>
      <c r="BUO3" s="133"/>
      <c r="BUP3" s="133"/>
      <c r="BUQ3" s="133"/>
      <c r="BUR3" s="133"/>
      <c r="BUS3" s="133"/>
      <c r="BUT3" s="133"/>
      <c r="BUU3" s="133"/>
      <c r="BUV3" s="133"/>
      <c r="BUW3" s="133"/>
      <c r="BUX3" s="133"/>
      <c r="BUY3" s="133"/>
      <c r="BUZ3" s="133"/>
      <c r="BVA3" s="133"/>
      <c r="BVB3" s="133"/>
      <c r="BVC3" s="133"/>
      <c r="BVD3" s="133"/>
      <c r="BVE3" s="133"/>
      <c r="BVF3" s="133"/>
      <c r="BVG3" s="133"/>
      <c r="BVH3" s="133"/>
      <c r="BVI3" s="133"/>
      <c r="BVJ3" s="133"/>
      <c r="BVK3" s="133"/>
      <c r="BVL3" s="133"/>
      <c r="BVM3" s="133"/>
      <c r="BVN3" s="133"/>
      <c r="BVO3" s="133"/>
      <c r="BVP3" s="133"/>
      <c r="BVQ3" s="133"/>
      <c r="BVR3" s="133"/>
      <c r="BVS3" s="133"/>
      <c r="BVT3" s="133"/>
      <c r="BVU3" s="133"/>
      <c r="BVV3" s="133"/>
      <c r="BVW3" s="133"/>
      <c r="BVX3" s="133"/>
      <c r="BVY3" s="133"/>
      <c r="BVZ3" s="133"/>
      <c r="BWA3" s="133"/>
      <c r="BWB3" s="133"/>
      <c r="BWC3" s="133"/>
      <c r="BWD3" s="133"/>
      <c r="BWE3" s="133"/>
      <c r="BWF3" s="133"/>
      <c r="BWG3" s="133"/>
      <c r="BWH3" s="133"/>
      <c r="BWI3" s="133"/>
      <c r="BWJ3" s="133"/>
      <c r="BWK3" s="133"/>
      <c r="BWL3" s="133"/>
      <c r="BWM3" s="133"/>
      <c r="BWN3" s="133"/>
      <c r="BWO3" s="133"/>
      <c r="BWP3" s="133"/>
      <c r="BWQ3" s="133"/>
      <c r="BWR3" s="133"/>
      <c r="BWS3" s="133"/>
      <c r="BWT3" s="133"/>
      <c r="BWU3" s="133"/>
      <c r="BWV3" s="133"/>
      <c r="BWW3" s="133"/>
      <c r="BWX3" s="133"/>
      <c r="BWY3" s="133"/>
      <c r="BWZ3" s="133"/>
      <c r="BXA3" s="133"/>
      <c r="BXB3" s="133"/>
      <c r="BXC3" s="133"/>
      <c r="BXD3" s="133"/>
      <c r="BXE3" s="133"/>
      <c r="BXF3" s="133"/>
      <c r="BXG3" s="133"/>
      <c r="BXH3" s="133"/>
      <c r="BXI3" s="133"/>
      <c r="BXJ3" s="133"/>
      <c r="BXK3" s="133"/>
      <c r="BXL3" s="133"/>
      <c r="BXM3" s="133"/>
      <c r="BXN3" s="133"/>
      <c r="BXO3" s="133"/>
      <c r="BXP3" s="133"/>
      <c r="BXQ3" s="133"/>
      <c r="BXR3" s="133"/>
      <c r="BXS3" s="133"/>
      <c r="BXT3" s="133"/>
      <c r="BXU3" s="133"/>
      <c r="BXV3" s="133"/>
      <c r="BXW3" s="133"/>
      <c r="BXX3" s="133"/>
      <c r="BXY3" s="133"/>
      <c r="BXZ3" s="133"/>
      <c r="BYA3" s="133"/>
      <c r="BYB3" s="133"/>
      <c r="BYC3" s="133"/>
      <c r="BYD3" s="133"/>
      <c r="BYE3" s="133"/>
      <c r="BYF3" s="133"/>
      <c r="BYG3" s="133"/>
      <c r="BYH3" s="133"/>
      <c r="BYI3" s="133"/>
      <c r="BYJ3" s="133"/>
      <c r="BYK3" s="133"/>
      <c r="BYL3" s="133"/>
      <c r="BYM3" s="133"/>
      <c r="BYN3" s="133"/>
      <c r="BYO3" s="133"/>
      <c r="BYP3" s="133"/>
      <c r="BYQ3" s="133"/>
      <c r="BYR3" s="133"/>
      <c r="BYS3" s="133"/>
      <c r="BYT3" s="133"/>
      <c r="BYU3" s="133"/>
      <c r="BYV3" s="133"/>
      <c r="BYW3" s="133"/>
      <c r="BYX3" s="133"/>
      <c r="BYY3" s="133"/>
      <c r="BYZ3" s="133"/>
      <c r="BZA3" s="133"/>
      <c r="BZB3" s="133"/>
      <c r="BZC3" s="133"/>
      <c r="BZD3" s="133"/>
      <c r="BZE3" s="133"/>
      <c r="BZF3" s="133"/>
      <c r="BZG3" s="133"/>
      <c r="BZH3" s="133"/>
      <c r="BZI3" s="133"/>
      <c r="BZJ3" s="133"/>
      <c r="BZK3" s="133"/>
      <c r="BZL3" s="133"/>
      <c r="BZM3" s="133"/>
      <c r="BZN3" s="133"/>
      <c r="BZO3" s="133"/>
      <c r="BZP3" s="133"/>
      <c r="BZQ3" s="133"/>
      <c r="BZR3" s="133"/>
      <c r="BZS3" s="133"/>
      <c r="BZT3" s="133"/>
      <c r="BZU3" s="133"/>
      <c r="BZV3" s="133"/>
      <c r="BZW3" s="133"/>
      <c r="BZX3" s="133"/>
      <c r="BZY3" s="133"/>
      <c r="BZZ3" s="133"/>
      <c r="CAA3" s="133"/>
      <c r="CAB3" s="133"/>
      <c r="CAC3" s="133"/>
      <c r="CAD3" s="133"/>
      <c r="CAE3" s="133"/>
      <c r="CAF3" s="133"/>
      <c r="CAG3" s="133"/>
      <c r="CAH3" s="133"/>
      <c r="CAI3" s="133"/>
      <c r="CAJ3" s="133"/>
      <c r="CAK3" s="133"/>
      <c r="CAL3" s="133"/>
      <c r="CAM3" s="133"/>
      <c r="CAN3" s="133"/>
      <c r="CAO3" s="133"/>
      <c r="CAP3" s="133"/>
      <c r="CAQ3" s="133"/>
      <c r="CAR3" s="133"/>
      <c r="CAS3" s="133"/>
      <c r="CAT3" s="133"/>
      <c r="CAU3" s="133"/>
      <c r="CAV3" s="133"/>
      <c r="CAW3" s="133"/>
      <c r="CAX3" s="133"/>
      <c r="CAY3" s="133"/>
      <c r="CAZ3" s="133"/>
      <c r="CBA3" s="133"/>
      <c r="CBB3" s="133"/>
      <c r="CBC3" s="133"/>
      <c r="CBD3" s="133"/>
      <c r="CBE3" s="133"/>
      <c r="CBF3" s="133"/>
      <c r="CBG3" s="133"/>
      <c r="CBH3" s="133"/>
      <c r="CBI3" s="133"/>
      <c r="CBJ3" s="133"/>
      <c r="CBK3" s="133"/>
      <c r="CBL3" s="133"/>
      <c r="CBM3" s="133"/>
      <c r="CBN3" s="133"/>
      <c r="CBO3" s="133"/>
      <c r="CBP3" s="133"/>
      <c r="CBQ3" s="133"/>
      <c r="CBR3" s="133"/>
      <c r="CBS3" s="133"/>
      <c r="CBT3" s="133"/>
      <c r="CBU3" s="133"/>
      <c r="CBV3" s="133"/>
      <c r="CBW3" s="133"/>
      <c r="CBX3" s="133"/>
      <c r="CBY3" s="133"/>
      <c r="CBZ3" s="133"/>
      <c r="CCA3" s="133"/>
      <c r="CCB3" s="133"/>
      <c r="CCC3" s="133"/>
      <c r="CCD3" s="133"/>
      <c r="CCE3" s="133"/>
      <c r="CCF3" s="133"/>
      <c r="CCG3" s="133"/>
      <c r="CCH3" s="133"/>
      <c r="CCI3" s="133"/>
      <c r="CCJ3" s="133"/>
      <c r="CCK3" s="133"/>
      <c r="CCL3" s="133"/>
      <c r="CCM3" s="133"/>
      <c r="CCN3" s="133"/>
      <c r="CCO3" s="133"/>
      <c r="CCP3" s="133"/>
      <c r="CCQ3" s="133"/>
      <c r="CCR3" s="133"/>
      <c r="CCS3" s="133"/>
      <c r="CCT3" s="133"/>
      <c r="CCU3" s="133"/>
      <c r="CCV3" s="133"/>
      <c r="CCW3" s="133"/>
      <c r="CCX3" s="133"/>
      <c r="CCY3" s="133"/>
      <c r="CCZ3" s="133"/>
      <c r="CDA3" s="133"/>
      <c r="CDB3" s="133"/>
      <c r="CDC3" s="133"/>
      <c r="CDD3" s="133"/>
      <c r="CDE3" s="133"/>
      <c r="CDF3" s="133"/>
      <c r="CDG3" s="133"/>
      <c r="CDH3" s="133"/>
      <c r="CDI3" s="133"/>
      <c r="CDJ3" s="133"/>
      <c r="CDK3" s="133"/>
      <c r="CDL3" s="133"/>
      <c r="CDM3" s="133"/>
      <c r="CDN3" s="133"/>
      <c r="CDO3" s="133"/>
      <c r="CDP3" s="133"/>
      <c r="CDQ3" s="133"/>
      <c r="CDR3" s="133"/>
      <c r="CDS3" s="133"/>
      <c r="CDT3" s="133"/>
      <c r="CDU3" s="133"/>
      <c r="CDV3" s="133"/>
      <c r="CDW3" s="133"/>
      <c r="CDX3" s="133"/>
      <c r="CDY3" s="133"/>
      <c r="CDZ3" s="133"/>
      <c r="CEA3" s="133"/>
      <c r="CEB3" s="133"/>
      <c r="CEC3" s="133"/>
      <c r="CED3" s="133"/>
      <c r="CEE3" s="133"/>
      <c r="CEF3" s="133"/>
      <c r="CEG3" s="133"/>
      <c r="CEH3" s="133"/>
      <c r="CEI3" s="133"/>
      <c r="CEJ3" s="133"/>
      <c r="CEK3" s="133"/>
      <c r="CEL3" s="133"/>
      <c r="CEM3" s="133"/>
      <c r="CEN3" s="133"/>
      <c r="CEO3" s="133"/>
      <c r="CEP3" s="133"/>
      <c r="CEQ3" s="133"/>
      <c r="CER3" s="133"/>
      <c r="CES3" s="133"/>
      <c r="CET3" s="133"/>
      <c r="CEU3" s="133"/>
      <c r="CEV3" s="133"/>
      <c r="CEW3" s="133"/>
      <c r="CEX3" s="133"/>
      <c r="CEY3" s="133"/>
      <c r="CEZ3" s="133"/>
      <c r="CFA3" s="133"/>
      <c r="CFB3" s="133"/>
      <c r="CFC3" s="133"/>
      <c r="CFD3" s="133"/>
      <c r="CFE3" s="133"/>
      <c r="CFF3" s="133"/>
      <c r="CFG3" s="133"/>
      <c r="CFH3" s="133"/>
      <c r="CFI3" s="133"/>
      <c r="CFJ3" s="133"/>
      <c r="CFK3" s="133"/>
      <c r="CFL3" s="133"/>
      <c r="CFM3" s="133"/>
      <c r="CFN3" s="133"/>
      <c r="CFO3" s="133"/>
      <c r="CFP3" s="133"/>
      <c r="CFQ3" s="133"/>
      <c r="CFR3" s="133"/>
      <c r="CFS3" s="133"/>
      <c r="CFT3" s="133"/>
      <c r="CFU3" s="133"/>
      <c r="CFV3" s="133"/>
      <c r="CFW3" s="133"/>
      <c r="CFX3" s="133"/>
      <c r="CFY3" s="133"/>
      <c r="CFZ3" s="133"/>
      <c r="CGA3" s="133"/>
      <c r="CGB3" s="133"/>
      <c r="CGC3" s="133"/>
      <c r="CGD3" s="133"/>
      <c r="CGE3" s="133"/>
      <c r="CGF3" s="133"/>
      <c r="CGG3" s="133"/>
      <c r="CGH3" s="133"/>
      <c r="CGI3" s="133"/>
      <c r="CGJ3" s="133"/>
      <c r="CGK3" s="133"/>
      <c r="CGL3" s="133"/>
      <c r="CGM3" s="133"/>
      <c r="CGN3" s="133"/>
      <c r="CGO3" s="133"/>
      <c r="CGP3" s="133"/>
      <c r="CGQ3" s="133"/>
      <c r="CGR3" s="133"/>
      <c r="CGS3" s="133"/>
      <c r="CGT3" s="133"/>
      <c r="CGU3" s="133"/>
      <c r="CGV3" s="133"/>
      <c r="CGW3" s="133"/>
      <c r="CGX3" s="133"/>
      <c r="CGY3" s="133"/>
      <c r="CGZ3" s="133"/>
      <c r="CHA3" s="133"/>
      <c r="CHB3" s="133"/>
      <c r="CHC3" s="133"/>
      <c r="CHD3" s="133"/>
      <c r="CHE3" s="133"/>
      <c r="CHF3" s="133"/>
      <c r="CHG3" s="133"/>
      <c r="CHH3" s="133"/>
      <c r="CHI3" s="133"/>
      <c r="CHJ3" s="133"/>
      <c r="CHK3" s="133"/>
      <c r="CHL3" s="133"/>
      <c r="CHM3" s="133"/>
      <c r="CHN3" s="133"/>
      <c r="CHO3" s="133"/>
      <c r="CHP3" s="133"/>
      <c r="CHQ3" s="133"/>
      <c r="CHR3" s="133"/>
      <c r="CHS3" s="133"/>
      <c r="CHT3" s="133"/>
      <c r="CHU3" s="133"/>
      <c r="CHV3" s="133"/>
      <c r="CHW3" s="133"/>
      <c r="CHX3" s="133"/>
      <c r="CHY3" s="133"/>
      <c r="CHZ3" s="133"/>
      <c r="CIA3" s="133"/>
      <c r="CIB3" s="133"/>
      <c r="CIC3" s="133"/>
      <c r="CID3" s="133"/>
      <c r="CIE3" s="133"/>
      <c r="CIF3" s="133"/>
      <c r="CIG3" s="133"/>
      <c r="CIH3" s="133"/>
      <c r="CII3" s="133"/>
      <c r="CIJ3" s="133"/>
      <c r="CIK3" s="133"/>
      <c r="CIL3" s="133"/>
      <c r="CIM3" s="133"/>
      <c r="CIN3" s="133"/>
      <c r="CIO3" s="133"/>
      <c r="CIP3" s="133"/>
      <c r="CIQ3" s="133"/>
      <c r="CIR3" s="133"/>
      <c r="CIS3" s="133"/>
      <c r="CIT3" s="133"/>
      <c r="CIU3" s="133"/>
      <c r="CIV3" s="133"/>
      <c r="CIW3" s="133"/>
      <c r="CIX3" s="133"/>
      <c r="CIY3" s="133"/>
      <c r="CIZ3" s="133"/>
      <c r="CJA3" s="133"/>
      <c r="CJB3" s="133"/>
      <c r="CJC3" s="133"/>
      <c r="CJD3" s="133"/>
      <c r="CJE3" s="133"/>
      <c r="CJF3" s="133"/>
      <c r="CJG3" s="133"/>
      <c r="CJH3" s="133"/>
      <c r="CJI3" s="133"/>
      <c r="CJJ3" s="133"/>
      <c r="CJK3" s="133"/>
      <c r="CJL3" s="133"/>
      <c r="CJM3" s="133"/>
      <c r="CJN3" s="133"/>
      <c r="CJO3" s="133"/>
      <c r="CJP3" s="133"/>
      <c r="CJQ3" s="133"/>
      <c r="CJR3" s="133"/>
      <c r="CJS3" s="133"/>
      <c r="CJT3" s="133"/>
      <c r="CJU3" s="133"/>
      <c r="CJV3" s="133"/>
      <c r="CJW3" s="133"/>
      <c r="CJX3" s="133"/>
      <c r="CJY3" s="133"/>
      <c r="CJZ3" s="133"/>
      <c r="CKA3" s="133"/>
      <c r="CKB3" s="133"/>
      <c r="CKC3" s="133"/>
      <c r="CKD3" s="133"/>
      <c r="CKE3" s="133"/>
      <c r="CKF3" s="133"/>
      <c r="CKG3" s="133"/>
      <c r="CKH3" s="133"/>
      <c r="CKI3" s="133"/>
      <c r="CKJ3" s="133"/>
      <c r="CKK3" s="133"/>
      <c r="CKL3" s="133"/>
      <c r="CKM3" s="133"/>
      <c r="CKN3" s="133"/>
      <c r="CKO3" s="133"/>
      <c r="CKP3" s="133"/>
      <c r="CKQ3" s="133"/>
      <c r="CKR3" s="133"/>
      <c r="CKS3" s="133"/>
      <c r="CKT3" s="133"/>
      <c r="CKU3" s="133"/>
      <c r="CKV3" s="133"/>
      <c r="CKW3" s="133"/>
      <c r="CKX3" s="133"/>
      <c r="CKY3" s="133"/>
      <c r="CKZ3" s="133"/>
      <c r="CLA3" s="133"/>
      <c r="CLB3" s="133"/>
      <c r="CLC3" s="133"/>
      <c r="CLD3" s="133"/>
      <c r="CLE3" s="133"/>
      <c r="CLF3" s="133"/>
      <c r="CLG3" s="133"/>
      <c r="CLH3" s="133"/>
      <c r="CLI3" s="133"/>
      <c r="CLJ3" s="133"/>
      <c r="CLK3" s="133"/>
      <c r="CLL3" s="133"/>
      <c r="CLM3" s="133"/>
      <c r="CLN3" s="133"/>
      <c r="CLO3" s="133"/>
      <c r="CLP3" s="133"/>
      <c r="CLQ3" s="133"/>
      <c r="CLR3" s="133"/>
      <c r="CLS3" s="133"/>
      <c r="CLT3" s="133"/>
      <c r="CLU3" s="133"/>
      <c r="CLV3" s="133"/>
      <c r="CLW3" s="133"/>
      <c r="CLX3" s="133"/>
      <c r="CLY3" s="133"/>
      <c r="CLZ3" s="133"/>
      <c r="CMA3" s="133"/>
      <c r="CMB3" s="133"/>
      <c r="CMC3" s="133"/>
      <c r="CMD3" s="133"/>
      <c r="CME3" s="133"/>
      <c r="CMF3" s="133"/>
      <c r="CMG3" s="133"/>
      <c r="CMH3" s="133"/>
      <c r="CMI3" s="133"/>
      <c r="CMJ3" s="133"/>
      <c r="CMK3" s="133"/>
      <c r="CML3" s="133"/>
      <c r="CMM3" s="133"/>
      <c r="CMN3" s="133"/>
      <c r="CMO3" s="133"/>
      <c r="CMP3" s="133"/>
      <c r="CMQ3" s="133"/>
      <c r="CMR3" s="133"/>
      <c r="CMS3" s="133"/>
      <c r="CMT3" s="133"/>
      <c r="CMU3" s="133"/>
      <c r="CMV3" s="133"/>
      <c r="CMW3" s="133"/>
      <c r="CMX3" s="133"/>
      <c r="CMY3" s="133"/>
      <c r="CMZ3" s="133"/>
      <c r="CNA3" s="133"/>
      <c r="CNB3" s="133"/>
      <c r="CNC3" s="133"/>
      <c r="CND3" s="133"/>
      <c r="CNE3" s="133"/>
      <c r="CNF3" s="133"/>
      <c r="CNG3" s="133"/>
      <c r="CNH3" s="133"/>
      <c r="CNI3" s="133"/>
      <c r="CNJ3" s="133"/>
      <c r="CNK3" s="133"/>
      <c r="CNL3" s="133"/>
      <c r="CNM3" s="133"/>
      <c r="CNN3" s="133"/>
      <c r="CNO3" s="133"/>
      <c r="CNP3" s="133"/>
      <c r="CNQ3" s="133"/>
      <c r="CNR3" s="133"/>
      <c r="CNS3" s="133"/>
      <c r="CNT3" s="133"/>
      <c r="CNU3" s="133"/>
      <c r="CNV3" s="133"/>
      <c r="CNW3" s="133"/>
      <c r="CNX3" s="133"/>
      <c r="CNY3" s="133"/>
      <c r="CNZ3" s="133"/>
      <c r="COA3" s="133"/>
      <c r="COB3" s="133"/>
      <c r="COC3" s="133"/>
      <c r="COD3" s="133"/>
      <c r="COE3" s="133"/>
      <c r="COF3" s="133"/>
      <c r="COG3" s="133"/>
      <c r="COH3" s="133"/>
      <c r="COI3" s="133"/>
      <c r="COJ3" s="133"/>
      <c r="COK3" s="133"/>
      <c r="COL3" s="133"/>
      <c r="COM3" s="133"/>
      <c r="CON3" s="133"/>
      <c r="COO3" s="133"/>
      <c r="COP3" s="133"/>
      <c r="COQ3" s="133"/>
      <c r="COR3" s="133"/>
      <c r="COS3" s="133"/>
      <c r="COT3" s="133"/>
      <c r="COU3" s="133"/>
      <c r="COV3" s="133"/>
      <c r="COW3" s="133"/>
      <c r="COX3" s="133"/>
      <c r="COY3" s="133"/>
      <c r="COZ3" s="133"/>
      <c r="CPA3" s="133"/>
      <c r="CPB3" s="133"/>
      <c r="CPC3" s="133"/>
      <c r="CPD3" s="133"/>
      <c r="CPE3" s="133"/>
      <c r="CPF3" s="133"/>
      <c r="CPG3" s="133"/>
      <c r="CPH3" s="133"/>
      <c r="CPI3" s="133"/>
      <c r="CPJ3" s="133"/>
      <c r="CPK3" s="133"/>
      <c r="CPL3" s="133"/>
      <c r="CPM3" s="133"/>
      <c r="CPN3" s="133"/>
      <c r="CPO3" s="133"/>
      <c r="CPP3" s="133"/>
      <c r="CPQ3" s="133"/>
      <c r="CPR3" s="133"/>
      <c r="CPS3" s="133"/>
      <c r="CPT3" s="133"/>
      <c r="CPU3" s="133"/>
      <c r="CPV3" s="133"/>
      <c r="CPW3" s="133"/>
      <c r="CPX3" s="133"/>
      <c r="CPY3" s="133"/>
      <c r="CPZ3" s="133"/>
      <c r="CQA3" s="133"/>
      <c r="CQB3" s="133"/>
      <c r="CQC3" s="133"/>
      <c r="CQD3" s="133"/>
      <c r="CQE3" s="133"/>
      <c r="CQF3" s="133"/>
      <c r="CQG3" s="133"/>
      <c r="CQH3" s="133"/>
      <c r="CQI3" s="133"/>
      <c r="CQJ3" s="133"/>
      <c r="CQK3" s="133"/>
      <c r="CQL3" s="133"/>
      <c r="CQM3" s="133"/>
      <c r="CQN3" s="133"/>
      <c r="CQO3" s="133"/>
      <c r="CQP3" s="133"/>
      <c r="CQQ3" s="133"/>
      <c r="CQR3" s="133"/>
      <c r="CQS3" s="133"/>
      <c r="CQT3" s="133"/>
      <c r="CQU3" s="133"/>
      <c r="CQV3" s="133"/>
      <c r="CQW3" s="133"/>
      <c r="CQX3" s="133"/>
      <c r="CQY3" s="133"/>
      <c r="CQZ3" s="133"/>
      <c r="CRA3" s="133"/>
      <c r="CRB3" s="133"/>
      <c r="CRC3" s="133"/>
      <c r="CRD3" s="133"/>
      <c r="CRE3" s="133"/>
      <c r="CRF3" s="133"/>
      <c r="CRG3" s="133"/>
      <c r="CRH3" s="133"/>
      <c r="CRI3" s="133"/>
      <c r="CRJ3" s="133"/>
      <c r="CRK3" s="133"/>
      <c r="CRL3" s="133"/>
      <c r="CRM3" s="133"/>
      <c r="CRN3" s="133"/>
      <c r="CRO3" s="133"/>
      <c r="CRP3" s="133"/>
      <c r="CRQ3" s="133"/>
      <c r="CRR3" s="133"/>
      <c r="CRS3" s="133"/>
      <c r="CRT3" s="133"/>
      <c r="CRU3" s="133"/>
      <c r="CRV3" s="133"/>
      <c r="CRW3" s="133"/>
      <c r="CRX3" s="133"/>
      <c r="CRY3" s="133"/>
      <c r="CRZ3" s="133"/>
      <c r="CSA3" s="133"/>
      <c r="CSB3" s="133"/>
      <c r="CSC3" s="133"/>
      <c r="CSD3" s="133"/>
      <c r="CSE3" s="133"/>
      <c r="CSF3" s="133"/>
      <c r="CSG3" s="133"/>
      <c r="CSH3" s="133"/>
      <c r="CSI3" s="133"/>
      <c r="CSJ3" s="133"/>
      <c r="CSK3" s="133"/>
      <c r="CSL3" s="133"/>
      <c r="CSM3" s="133"/>
      <c r="CSN3" s="133"/>
      <c r="CSO3" s="133"/>
      <c r="CSP3" s="133"/>
      <c r="CSQ3" s="133"/>
      <c r="CSR3" s="133"/>
      <c r="CSS3" s="133"/>
      <c r="CST3" s="133"/>
      <c r="CSU3" s="133"/>
      <c r="CSV3" s="133"/>
      <c r="CSW3" s="133"/>
      <c r="CSX3" s="133"/>
      <c r="CSY3" s="133"/>
      <c r="CSZ3" s="133"/>
      <c r="CTA3" s="133"/>
      <c r="CTB3" s="133"/>
      <c r="CTC3" s="133"/>
      <c r="CTD3" s="133"/>
      <c r="CTE3" s="133"/>
      <c r="CTF3" s="133"/>
      <c r="CTG3" s="133"/>
      <c r="CTH3" s="133"/>
      <c r="CTI3" s="133"/>
      <c r="CTJ3" s="133"/>
      <c r="CTK3" s="133"/>
      <c r="CTL3" s="133"/>
      <c r="CTM3" s="133"/>
      <c r="CTN3" s="133"/>
      <c r="CTO3" s="133"/>
      <c r="CTP3" s="133"/>
      <c r="CTQ3" s="133"/>
      <c r="CTR3" s="133"/>
      <c r="CTS3" s="133"/>
      <c r="CTT3" s="133"/>
      <c r="CTU3" s="133"/>
      <c r="CTV3" s="133"/>
      <c r="CTW3" s="133"/>
      <c r="CTX3" s="133"/>
      <c r="CTY3" s="133"/>
      <c r="CTZ3" s="133"/>
      <c r="CUA3" s="133"/>
      <c r="CUB3" s="133"/>
      <c r="CUC3" s="133"/>
      <c r="CUD3" s="133"/>
      <c r="CUE3" s="133"/>
      <c r="CUF3" s="133"/>
      <c r="CUG3" s="133"/>
      <c r="CUH3" s="133"/>
      <c r="CUI3" s="133"/>
      <c r="CUJ3" s="133"/>
      <c r="CUK3" s="133"/>
      <c r="CUL3" s="133"/>
      <c r="CUM3" s="133"/>
      <c r="CUN3" s="133"/>
      <c r="CUO3" s="133"/>
      <c r="CUP3" s="133"/>
      <c r="CUQ3" s="133"/>
      <c r="CUR3" s="133"/>
      <c r="CUS3" s="133"/>
      <c r="CUT3" s="133"/>
      <c r="CUU3" s="133"/>
      <c r="CUV3" s="133"/>
      <c r="CUW3" s="133"/>
      <c r="CUX3" s="133"/>
      <c r="CUY3" s="133"/>
      <c r="CUZ3" s="133"/>
      <c r="CVA3" s="133"/>
      <c r="CVB3" s="133"/>
      <c r="CVC3" s="133"/>
      <c r="CVD3" s="133"/>
      <c r="CVE3" s="133"/>
      <c r="CVF3" s="133"/>
      <c r="CVG3" s="133"/>
      <c r="CVH3" s="133"/>
      <c r="CVI3" s="133"/>
      <c r="CVJ3" s="133"/>
      <c r="CVK3" s="133"/>
      <c r="CVL3" s="133"/>
      <c r="CVM3" s="133"/>
      <c r="CVN3" s="133"/>
      <c r="CVO3" s="133"/>
      <c r="CVP3" s="133"/>
      <c r="CVQ3" s="133"/>
      <c r="CVR3" s="133"/>
      <c r="CVS3" s="133"/>
      <c r="CVT3" s="133"/>
      <c r="CVU3" s="133"/>
      <c r="CVV3" s="133"/>
      <c r="CVW3" s="133"/>
      <c r="CVX3" s="133"/>
      <c r="CVY3" s="133"/>
      <c r="CVZ3" s="133"/>
      <c r="CWA3" s="133"/>
      <c r="CWB3" s="133"/>
      <c r="CWC3" s="133"/>
      <c r="CWD3" s="133"/>
      <c r="CWE3" s="133"/>
      <c r="CWF3" s="133"/>
      <c r="CWG3" s="133"/>
      <c r="CWH3" s="133"/>
      <c r="CWI3" s="133"/>
      <c r="CWJ3" s="133"/>
      <c r="CWK3" s="133"/>
      <c r="CWL3" s="133"/>
      <c r="CWM3" s="133"/>
      <c r="CWN3" s="133"/>
      <c r="CWO3" s="133"/>
      <c r="CWP3" s="133"/>
      <c r="CWQ3" s="133"/>
      <c r="CWR3" s="133"/>
      <c r="CWS3" s="133"/>
      <c r="CWT3" s="133"/>
      <c r="CWU3" s="133"/>
      <c r="CWV3" s="133"/>
      <c r="CWW3" s="133"/>
      <c r="CWX3" s="133"/>
      <c r="CWY3" s="133"/>
      <c r="CWZ3" s="133"/>
      <c r="CXA3" s="133"/>
      <c r="CXB3" s="133"/>
      <c r="CXC3" s="133"/>
      <c r="CXD3" s="133"/>
      <c r="CXE3" s="133"/>
      <c r="CXF3" s="133"/>
      <c r="CXG3" s="133"/>
      <c r="CXH3" s="133"/>
      <c r="CXI3" s="133"/>
      <c r="CXJ3" s="133"/>
      <c r="CXK3" s="133"/>
      <c r="CXL3" s="133"/>
      <c r="CXM3" s="133"/>
      <c r="CXN3" s="133"/>
      <c r="CXO3" s="133"/>
      <c r="CXP3" s="133"/>
      <c r="CXQ3" s="133"/>
      <c r="CXR3" s="133"/>
      <c r="CXS3" s="133"/>
      <c r="CXT3" s="133"/>
      <c r="CXU3" s="133"/>
      <c r="CXV3" s="133"/>
      <c r="CXW3" s="133"/>
      <c r="CXX3" s="133"/>
      <c r="CXY3" s="133"/>
      <c r="CXZ3" s="133"/>
      <c r="CYA3" s="133"/>
      <c r="CYB3" s="133"/>
      <c r="CYC3" s="133"/>
      <c r="CYD3" s="133"/>
      <c r="CYE3" s="133"/>
      <c r="CYF3" s="133"/>
      <c r="CYG3" s="133"/>
      <c r="CYH3" s="133"/>
      <c r="CYI3" s="133"/>
      <c r="CYJ3" s="133"/>
      <c r="CYK3" s="133"/>
      <c r="CYL3" s="133"/>
      <c r="CYM3" s="133"/>
      <c r="CYN3" s="133"/>
      <c r="CYO3" s="133"/>
      <c r="CYP3" s="133"/>
      <c r="CYQ3" s="133"/>
      <c r="CYR3" s="133"/>
      <c r="CYS3" s="133"/>
      <c r="CYT3" s="133"/>
      <c r="CYU3" s="133"/>
      <c r="CYV3" s="133"/>
      <c r="CYW3" s="133"/>
      <c r="CYX3" s="133"/>
      <c r="CYY3" s="133"/>
      <c r="CYZ3" s="133"/>
      <c r="CZA3" s="133"/>
      <c r="CZB3" s="133"/>
      <c r="CZC3" s="133"/>
      <c r="CZD3" s="133"/>
      <c r="CZE3" s="133"/>
      <c r="CZF3" s="133"/>
      <c r="CZG3" s="133"/>
      <c r="CZH3" s="133"/>
      <c r="CZI3" s="133"/>
      <c r="CZJ3" s="133"/>
      <c r="CZK3" s="133"/>
      <c r="CZL3" s="133"/>
      <c r="CZM3" s="133"/>
      <c r="CZN3" s="133"/>
      <c r="CZO3" s="133"/>
      <c r="CZP3" s="133"/>
      <c r="CZQ3" s="133"/>
      <c r="CZR3" s="133"/>
      <c r="CZS3" s="133"/>
      <c r="CZT3" s="133"/>
      <c r="CZU3" s="133"/>
      <c r="CZV3" s="133"/>
      <c r="CZW3" s="133"/>
      <c r="CZX3" s="133"/>
      <c r="CZY3" s="133"/>
      <c r="CZZ3" s="133"/>
      <c r="DAA3" s="133"/>
      <c r="DAB3" s="133"/>
      <c r="DAC3" s="133"/>
      <c r="DAD3" s="133"/>
      <c r="DAE3" s="133"/>
      <c r="DAF3" s="133"/>
      <c r="DAG3" s="133"/>
      <c r="DAH3" s="133"/>
      <c r="DAI3" s="133"/>
      <c r="DAJ3" s="133"/>
      <c r="DAK3" s="133"/>
      <c r="DAL3" s="133"/>
      <c r="DAM3" s="133"/>
      <c r="DAN3" s="133"/>
      <c r="DAO3" s="133"/>
      <c r="DAP3" s="133"/>
      <c r="DAQ3" s="133"/>
      <c r="DAR3" s="133"/>
      <c r="DAS3" s="133"/>
      <c r="DAT3" s="133"/>
      <c r="DAU3" s="133"/>
      <c r="DAV3" s="133"/>
      <c r="DAW3" s="133"/>
      <c r="DAX3" s="133"/>
      <c r="DAY3" s="133"/>
      <c r="DAZ3" s="133"/>
      <c r="DBA3" s="133"/>
      <c r="DBB3" s="133"/>
      <c r="DBC3" s="133"/>
      <c r="DBD3" s="133"/>
      <c r="DBE3" s="133"/>
      <c r="DBF3" s="133"/>
      <c r="DBG3" s="133"/>
      <c r="DBH3" s="133"/>
      <c r="DBI3" s="133"/>
      <c r="DBJ3" s="133"/>
      <c r="DBK3" s="133"/>
      <c r="DBL3" s="133"/>
      <c r="DBM3" s="133"/>
      <c r="DBN3" s="133"/>
      <c r="DBO3" s="133"/>
      <c r="DBP3" s="133"/>
      <c r="DBQ3" s="133"/>
      <c r="DBR3" s="133"/>
      <c r="DBS3" s="133"/>
      <c r="DBT3" s="133"/>
      <c r="DBU3" s="133"/>
      <c r="DBV3" s="133"/>
      <c r="DBW3" s="133"/>
      <c r="DBX3" s="133"/>
      <c r="DBY3" s="133"/>
      <c r="DBZ3" s="133"/>
      <c r="DCA3" s="133"/>
      <c r="DCB3" s="133"/>
      <c r="DCC3" s="133"/>
      <c r="DCD3" s="133"/>
      <c r="DCE3" s="133"/>
      <c r="DCF3" s="133"/>
      <c r="DCG3" s="133"/>
      <c r="DCH3" s="133"/>
      <c r="DCI3" s="133"/>
      <c r="DCJ3" s="133"/>
      <c r="DCK3" s="133"/>
      <c r="DCL3" s="133"/>
      <c r="DCM3" s="133"/>
      <c r="DCN3" s="133"/>
      <c r="DCO3" s="133"/>
      <c r="DCP3" s="133"/>
      <c r="DCQ3" s="133"/>
      <c r="DCR3" s="133"/>
      <c r="DCS3" s="133"/>
      <c r="DCT3" s="133"/>
      <c r="DCU3" s="133"/>
      <c r="DCV3" s="133"/>
      <c r="DCW3" s="133"/>
      <c r="DCX3" s="133"/>
      <c r="DCY3" s="133"/>
      <c r="DCZ3" s="133"/>
      <c r="DDA3" s="133"/>
      <c r="DDB3" s="133"/>
      <c r="DDC3" s="133"/>
      <c r="DDD3" s="133"/>
      <c r="DDE3" s="133"/>
      <c r="DDF3" s="133"/>
      <c r="DDG3" s="133"/>
      <c r="DDH3" s="133"/>
      <c r="DDI3" s="133"/>
      <c r="DDJ3" s="133"/>
      <c r="DDK3" s="133"/>
      <c r="DDL3" s="133"/>
      <c r="DDM3" s="133"/>
      <c r="DDN3" s="133"/>
      <c r="DDO3" s="133"/>
      <c r="DDP3" s="133"/>
      <c r="DDQ3" s="133"/>
      <c r="DDR3" s="133"/>
      <c r="DDS3" s="133"/>
      <c r="DDT3" s="133"/>
      <c r="DDU3" s="133"/>
      <c r="DDV3" s="133"/>
      <c r="DDW3" s="133"/>
      <c r="DDX3" s="133"/>
      <c r="DDY3" s="133"/>
      <c r="DDZ3" s="133"/>
      <c r="DEA3" s="133"/>
      <c r="DEB3" s="133"/>
      <c r="DEC3" s="133"/>
    </row>
    <row r="4" spans="1:2837" s="107" customFormat="1" ht="20.25" customHeight="1" x14ac:dyDescent="0.15">
      <c r="A4" s="193"/>
      <c r="B4" s="134" t="s">
        <v>0</v>
      </c>
      <c r="C4" s="137" t="s">
        <v>1</v>
      </c>
      <c r="D4" s="137" t="s">
        <v>2</v>
      </c>
      <c r="E4" s="134" t="s">
        <v>0</v>
      </c>
      <c r="F4" s="134" t="s">
        <v>1</v>
      </c>
      <c r="G4" s="134" t="s">
        <v>2</v>
      </c>
      <c r="H4" s="134" t="s">
        <v>0</v>
      </c>
      <c r="I4" s="134" t="s">
        <v>1</v>
      </c>
      <c r="J4" s="134" t="s">
        <v>2</v>
      </c>
      <c r="K4" s="134" t="s">
        <v>0</v>
      </c>
      <c r="L4" s="134" t="s">
        <v>1</v>
      </c>
      <c r="M4" s="136" t="s">
        <v>2</v>
      </c>
      <c r="N4" s="134" t="s">
        <v>0</v>
      </c>
      <c r="O4" s="134" t="s">
        <v>1</v>
      </c>
      <c r="P4" s="134" t="s">
        <v>2</v>
      </c>
      <c r="Q4" s="134" t="s">
        <v>0</v>
      </c>
      <c r="R4" s="134" t="s">
        <v>1</v>
      </c>
      <c r="S4" s="134" t="s">
        <v>2</v>
      </c>
      <c r="T4" s="134" t="s">
        <v>0</v>
      </c>
      <c r="U4" s="134" t="s">
        <v>1</v>
      </c>
      <c r="V4" s="134" t="s">
        <v>2</v>
      </c>
      <c r="W4" s="134" t="s">
        <v>0</v>
      </c>
      <c r="X4" s="134" t="s">
        <v>1</v>
      </c>
      <c r="Y4" s="134" t="s">
        <v>2</v>
      </c>
      <c r="Z4" s="134" t="s">
        <v>0</v>
      </c>
      <c r="AA4" s="134" t="s">
        <v>1</v>
      </c>
      <c r="AB4" s="134" t="s">
        <v>2</v>
      </c>
      <c r="AC4" s="134" t="s">
        <v>0</v>
      </c>
      <c r="AD4" s="134" t="s">
        <v>1</v>
      </c>
      <c r="AE4" s="135" t="s">
        <v>2</v>
      </c>
      <c r="AF4" s="134" t="s">
        <v>0</v>
      </c>
      <c r="AG4" s="134" t="s">
        <v>1</v>
      </c>
      <c r="AH4" s="135" t="s">
        <v>2</v>
      </c>
      <c r="AI4" s="134" t="s">
        <v>0</v>
      </c>
      <c r="AJ4" s="134" t="s">
        <v>1</v>
      </c>
      <c r="AK4" s="135" t="s">
        <v>2</v>
      </c>
      <c r="AL4" s="134" t="s">
        <v>0</v>
      </c>
      <c r="AM4" s="134" t="s">
        <v>1</v>
      </c>
      <c r="AN4" s="134" t="s">
        <v>2</v>
      </c>
      <c r="AO4" s="134" t="s">
        <v>0</v>
      </c>
      <c r="AP4" s="134" t="s">
        <v>1</v>
      </c>
      <c r="AQ4" s="134" t="s">
        <v>2</v>
      </c>
      <c r="AR4" s="134" t="s">
        <v>0</v>
      </c>
      <c r="AS4" s="134" t="s">
        <v>1</v>
      </c>
      <c r="AT4" s="134" t="s">
        <v>2</v>
      </c>
      <c r="AU4" s="134" t="s">
        <v>0</v>
      </c>
      <c r="AV4" s="134" t="s">
        <v>1</v>
      </c>
      <c r="AW4" s="134" t="s">
        <v>2</v>
      </c>
      <c r="AX4" s="134" t="s">
        <v>0</v>
      </c>
      <c r="AY4" s="134" t="s">
        <v>1</v>
      </c>
      <c r="AZ4" s="135" t="s">
        <v>2</v>
      </c>
      <c r="BA4" s="134" t="s">
        <v>0</v>
      </c>
      <c r="BB4" s="134" t="s">
        <v>1</v>
      </c>
      <c r="BC4" s="134" t="s">
        <v>2</v>
      </c>
      <c r="BD4" s="134" t="s">
        <v>0</v>
      </c>
      <c r="BE4" s="134" t="s">
        <v>1</v>
      </c>
      <c r="BF4" s="135" t="s">
        <v>2</v>
      </c>
      <c r="BG4" s="134" t="s">
        <v>0</v>
      </c>
      <c r="BH4" s="134" t="s">
        <v>1</v>
      </c>
      <c r="BI4" s="134" t="s">
        <v>2</v>
      </c>
      <c r="BJ4" s="134" t="s">
        <v>0</v>
      </c>
      <c r="BK4" s="134" t="s">
        <v>1</v>
      </c>
      <c r="BL4" s="134" t="s">
        <v>2</v>
      </c>
      <c r="BM4" s="134" t="s">
        <v>0</v>
      </c>
      <c r="BN4" s="134" t="s">
        <v>1</v>
      </c>
      <c r="BO4" s="134" t="s">
        <v>2</v>
      </c>
      <c r="BP4" s="134" t="s">
        <v>0</v>
      </c>
      <c r="BQ4" s="134" t="s">
        <v>1</v>
      </c>
      <c r="BR4" s="134" t="s">
        <v>2</v>
      </c>
      <c r="BS4" s="134" t="s">
        <v>0</v>
      </c>
      <c r="BT4" s="134" t="s">
        <v>1</v>
      </c>
      <c r="BU4" s="134" t="s">
        <v>2</v>
      </c>
      <c r="BV4" s="134" t="s">
        <v>0</v>
      </c>
      <c r="BW4" s="134" t="s">
        <v>1</v>
      </c>
      <c r="BX4" s="135" t="s">
        <v>2</v>
      </c>
      <c r="BY4" s="134" t="s">
        <v>0</v>
      </c>
      <c r="BZ4" s="134" t="s">
        <v>1</v>
      </c>
      <c r="CA4" s="134" t="s">
        <v>2</v>
      </c>
      <c r="CB4" s="134" t="s">
        <v>0</v>
      </c>
      <c r="CC4" s="134" t="s">
        <v>1</v>
      </c>
      <c r="CD4" s="135" t="s">
        <v>2</v>
      </c>
      <c r="CE4" s="134" t="s">
        <v>0</v>
      </c>
      <c r="CF4" s="134" t="s">
        <v>1</v>
      </c>
      <c r="CG4" s="135" t="s">
        <v>2</v>
      </c>
      <c r="CH4" s="134" t="s">
        <v>0</v>
      </c>
      <c r="CI4" s="134" t="s">
        <v>1</v>
      </c>
      <c r="CJ4" s="135" t="s">
        <v>2</v>
      </c>
      <c r="CK4" s="134" t="s">
        <v>0</v>
      </c>
      <c r="CL4" s="134" t="s">
        <v>1</v>
      </c>
      <c r="CM4" s="135" t="s">
        <v>2</v>
      </c>
      <c r="CN4" s="134" t="s">
        <v>0</v>
      </c>
      <c r="CO4" s="134" t="s">
        <v>1</v>
      </c>
      <c r="CP4" s="134" t="s">
        <v>2</v>
      </c>
      <c r="CQ4" s="134" t="s">
        <v>0</v>
      </c>
      <c r="CR4" s="134" t="s">
        <v>1</v>
      </c>
      <c r="CS4" s="134" t="s">
        <v>2</v>
      </c>
      <c r="CT4" s="134" t="s">
        <v>0</v>
      </c>
      <c r="CU4" s="134" t="s">
        <v>1</v>
      </c>
      <c r="CV4" s="135" t="s">
        <v>2</v>
      </c>
      <c r="CW4" s="134" t="s">
        <v>0</v>
      </c>
      <c r="CX4" s="134" t="s">
        <v>1</v>
      </c>
      <c r="CY4" s="134" t="s">
        <v>2</v>
      </c>
      <c r="CZ4" s="134" t="s">
        <v>0</v>
      </c>
      <c r="DA4" s="134" t="s">
        <v>1</v>
      </c>
      <c r="DB4" s="134" t="s">
        <v>2</v>
      </c>
      <c r="DC4" s="134" t="s">
        <v>0</v>
      </c>
      <c r="DD4" s="134" t="s">
        <v>1</v>
      </c>
      <c r="DE4" s="135" t="s">
        <v>2</v>
      </c>
      <c r="DF4" s="134" t="s">
        <v>0</v>
      </c>
      <c r="DG4" s="134" t="s">
        <v>1</v>
      </c>
      <c r="DH4" s="135" t="s">
        <v>2</v>
      </c>
      <c r="DI4" s="134" t="s">
        <v>0</v>
      </c>
      <c r="DJ4" s="134" t="s">
        <v>1</v>
      </c>
      <c r="DK4" s="135" t="s">
        <v>2</v>
      </c>
      <c r="DL4" s="134" t="s">
        <v>0</v>
      </c>
      <c r="DM4" s="134" t="s">
        <v>1</v>
      </c>
      <c r="DN4" s="135" t="s">
        <v>2</v>
      </c>
      <c r="DO4" s="134" t="s">
        <v>0</v>
      </c>
      <c r="DP4" s="134" t="s">
        <v>1</v>
      </c>
      <c r="DQ4" s="134" t="s">
        <v>2</v>
      </c>
      <c r="DR4" s="134" t="s">
        <v>0</v>
      </c>
      <c r="DS4" s="134" t="s">
        <v>1</v>
      </c>
      <c r="DT4" s="134" t="s">
        <v>2</v>
      </c>
      <c r="DU4" s="134" t="s">
        <v>0</v>
      </c>
      <c r="DV4" s="134" t="s">
        <v>1</v>
      </c>
      <c r="DW4" s="134" t="s">
        <v>2</v>
      </c>
      <c r="DX4" s="134" t="s">
        <v>0</v>
      </c>
      <c r="DY4" s="134" t="s">
        <v>1</v>
      </c>
      <c r="DZ4" s="135" t="s">
        <v>2</v>
      </c>
      <c r="EA4" s="134" t="s">
        <v>0</v>
      </c>
      <c r="EB4" s="134" t="s">
        <v>1</v>
      </c>
      <c r="EC4" s="135" t="s">
        <v>2</v>
      </c>
      <c r="ED4" s="134" t="s">
        <v>0</v>
      </c>
      <c r="EE4" s="134" t="s">
        <v>1</v>
      </c>
      <c r="EF4" s="135" t="s">
        <v>2</v>
      </c>
      <c r="EG4" s="134" t="s">
        <v>0</v>
      </c>
      <c r="EH4" s="134" t="s">
        <v>1</v>
      </c>
      <c r="EI4" s="135" t="s">
        <v>2</v>
      </c>
      <c r="EJ4" s="134" t="s">
        <v>0</v>
      </c>
      <c r="EK4" s="134" t="s">
        <v>1</v>
      </c>
      <c r="EL4" s="135" t="s">
        <v>2</v>
      </c>
      <c r="EM4" s="134" t="s">
        <v>0</v>
      </c>
      <c r="EN4" s="134" t="s">
        <v>1</v>
      </c>
      <c r="EO4" s="134" t="s">
        <v>2</v>
      </c>
      <c r="EP4" s="134" t="s">
        <v>0</v>
      </c>
      <c r="EQ4" s="134" t="s">
        <v>1</v>
      </c>
      <c r="ER4" s="135" t="s">
        <v>2</v>
      </c>
      <c r="ES4" s="134" t="s">
        <v>0</v>
      </c>
      <c r="ET4" s="134" t="s">
        <v>1</v>
      </c>
      <c r="EU4" s="135" t="s">
        <v>2</v>
      </c>
      <c r="EV4" s="134" t="s">
        <v>0</v>
      </c>
      <c r="EW4" s="134" t="s">
        <v>1</v>
      </c>
      <c r="EX4" s="135" t="s">
        <v>2</v>
      </c>
      <c r="EY4" s="134" t="s">
        <v>0</v>
      </c>
      <c r="EZ4" s="134" t="s">
        <v>1</v>
      </c>
      <c r="FA4" s="135" t="s">
        <v>2</v>
      </c>
      <c r="FB4" s="134" t="s">
        <v>0</v>
      </c>
      <c r="FC4" s="134" t="s">
        <v>1</v>
      </c>
      <c r="FD4" s="134" t="s">
        <v>2</v>
      </c>
      <c r="FE4" s="134" t="s">
        <v>0</v>
      </c>
      <c r="FF4" s="134" t="s">
        <v>1</v>
      </c>
      <c r="FG4" s="135" t="s">
        <v>2</v>
      </c>
      <c r="FH4" s="134" t="s">
        <v>0</v>
      </c>
      <c r="FI4" s="134" t="s">
        <v>1</v>
      </c>
      <c r="FJ4" s="135" t="s">
        <v>2</v>
      </c>
      <c r="FK4" s="134" t="s">
        <v>0</v>
      </c>
      <c r="FL4" s="134" t="s">
        <v>1</v>
      </c>
      <c r="FM4" s="135" t="s">
        <v>2</v>
      </c>
      <c r="FN4" s="134" t="s">
        <v>0</v>
      </c>
      <c r="FO4" s="134" t="s">
        <v>1</v>
      </c>
      <c r="FP4" s="134" t="s">
        <v>2</v>
      </c>
      <c r="FQ4" s="134" t="s">
        <v>0</v>
      </c>
      <c r="FR4" s="134" t="s">
        <v>1</v>
      </c>
      <c r="FS4" s="134" t="s">
        <v>2</v>
      </c>
      <c r="FT4" s="134" t="s">
        <v>0</v>
      </c>
      <c r="FU4" s="134" t="s">
        <v>1</v>
      </c>
      <c r="FV4" s="135" t="s">
        <v>2</v>
      </c>
      <c r="FW4" s="134" t="s">
        <v>0</v>
      </c>
      <c r="FX4" s="134" t="s">
        <v>1</v>
      </c>
      <c r="FY4" s="134" t="s">
        <v>2</v>
      </c>
      <c r="FZ4" s="134" t="s">
        <v>0</v>
      </c>
      <c r="GA4" s="134" t="s">
        <v>1</v>
      </c>
      <c r="GB4" s="135" t="s">
        <v>2</v>
      </c>
      <c r="GC4" s="134" t="s">
        <v>0</v>
      </c>
      <c r="GD4" s="134" t="s">
        <v>1</v>
      </c>
      <c r="GE4" s="135" t="s">
        <v>2</v>
      </c>
      <c r="GF4" s="134" t="s">
        <v>0</v>
      </c>
      <c r="GG4" s="134" t="s">
        <v>1</v>
      </c>
      <c r="GH4" s="134" t="s">
        <v>2</v>
      </c>
      <c r="GI4" s="134" t="s">
        <v>0</v>
      </c>
      <c r="GJ4" s="134" t="s">
        <v>1</v>
      </c>
      <c r="GK4" s="135" t="s">
        <v>2</v>
      </c>
      <c r="GL4" s="134" t="s">
        <v>0</v>
      </c>
      <c r="GM4" s="134" t="s">
        <v>1</v>
      </c>
      <c r="GN4" s="134" t="s">
        <v>2</v>
      </c>
      <c r="GO4" s="134" t="s">
        <v>0</v>
      </c>
      <c r="GP4" s="134" t="s">
        <v>1</v>
      </c>
      <c r="GQ4" s="135" t="s">
        <v>2</v>
      </c>
      <c r="GR4" s="134" t="s">
        <v>0</v>
      </c>
      <c r="GS4" s="134" t="s">
        <v>1</v>
      </c>
      <c r="GT4" s="135" t="s">
        <v>2</v>
      </c>
      <c r="GU4" s="134" t="s">
        <v>0</v>
      </c>
      <c r="GV4" s="134" t="s">
        <v>1</v>
      </c>
      <c r="GW4" s="134" t="s">
        <v>2</v>
      </c>
      <c r="GX4" s="134" t="s">
        <v>0</v>
      </c>
      <c r="GY4" s="134" t="s">
        <v>1</v>
      </c>
      <c r="GZ4" s="134" t="s">
        <v>2</v>
      </c>
      <c r="HA4" s="134" t="s">
        <v>0</v>
      </c>
      <c r="HB4" s="134" t="s">
        <v>1</v>
      </c>
      <c r="HC4" s="134" t="s">
        <v>2</v>
      </c>
      <c r="HD4" s="134" t="s">
        <v>0</v>
      </c>
      <c r="HE4" s="134" t="s">
        <v>1</v>
      </c>
      <c r="HF4" s="135" t="s">
        <v>2</v>
      </c>
      <c r="HG4" s="134" t="s">
        <v>0</v>
      </c>
      <c r="HH4" s="134" t="s">
        <v>1</v>
      </c>
      <c r="HI4" s="135" t="s">
        <v>2</v>
      </c>
      <c r="HJ4" s="134" t="s">
        <v>0</v>
      </c>
      <c r="HK4" s="134" t="s">
        <v>1</v>
      </c>
      <c r="HL4" s="135" t="s">
        <v>2</v>
      </c>
      <c r="HM4" s="134" t="s">
        <v>0</v>
      </c>
      <c r="HN4" s="134" t="s">
        <v>1</v>
      </c>
      <c r="HO4" s="134" t="s">
        <v>2</v>
      </c>
      <c r="HP4" s="134" t="s">
        <v>0</v>
      </c>
      <c r="HQ4" s="134" t="s">
        <v>1</v>
      </c>
      <c r="HR4" s="135" t="s">
        <v>2</v>
      </c>
      <c r="HS4" s="134" t="s">
        <v>0</v>
      </c>
      <c r="HT4" s="134" t="s">
        <v>1</v>
      </c>
      <c r="HU4" s="135" t="s">
        <v>2</v>
      </c>
      <c r="HV4" s="134" t="s">
        <v>0</v>
      </c>
      <c r="HW4" s="134" t="s">
        <v>1</v>
      </c>
      <c r="HX4" s="135" t="s">
        <v>2</v>
      </c>
      <c r="HY4" s="134" t="s">
        <v>0</v>
      </c>
      <c r="HZ4" s="134" t="s">
        <v>1</v>
      </c>
      <c r="IA4" s="135" t="s">
        <v>2</v>
      </c>
      <c r="IB4" s="134" t="s">
        <v>0</v>
      </c>
      <c r="IC4" s="134" t="s">
        <v>1</v>
      </c>
      <c r="ID4" s="135" t="s">
        <v>2</v>
      </c>
      <c r="IE4" s="134" t="s">
        <v>0</v>
      </c>
      <c r="IF4" s="134" t="s">
        <v>1</v>
      </c>
      <c r="IG4" s="134" t="s">
        <v>2</v>
      </c>
      <c r="IH4" s="134" t="s">
        <v>0</v>
      </c>
      <c r="II4" s="134" t="s">
        <v>1</v>
      </c>
      <c r="IJ4" s="135" t="s">
        <v>2</v>
      </c>
      <c r="IK4" s="134" t="s">
        <v>0</v>
      </c>
      <c r="IL4" s="134" t="s">
        <v>1</v>
      </c>
      <c r="IM4" s="135" t="s">
        <v>2</v>
      </c>
      <c r="IN4" s="134" t="s">
        <v>0</v>
      </c>
      <c r="IO4" s="134" t="s">
        <v>1</v>
      </c>
      <c r="IP4" s="135" t="s">
        <v>2</v>
      </c>
      <c r="IQ4" s="134" t="s">
        <v>0</v>
      </c>
      <c r="IR4" s="134" t="s">
        <v>1</v>
      </c>
      <c r="IS4" s="134" t="s">
        <v>2</v>
      </c>
      <c r="IT4" s="134" t="s">
        <v>0</v>
      </c>
      <c r="IU4" s="134" t="s">
        <v>1</v>
      </c>
      <c r="IV4" s="135" t="s">
        <v>2</v>
      </c>
      <c r="IW4" s="134" t="s">
        <v>0</v>
      </c>
      <c r="IX4" s="134" t="s">
        <v>1</v>
      </c>
      <c r="IY4" s="134" t="s">
        <v>2</v>
      </c>
      <c r="IZ4" s="134" t="s">
        <v>0</v>
      </c>
      <c r="JA4" s="134" t="s">
        <v>1</v>
      </c>
      <c r="JB4" s="135" t="s">
        <v>2</v>
      </c>
      <c r="JC4" s="134" t="s">
        <v>0</v>
      </c>
      <c r="JD4" s="134" t="s">
        <v>1</v>
      </c>
      <c r="JE4" s="134" t="s">
        <v>2</v>
      </c>
      <c r="JF4" s="134" t="s">
        <v>0</v>
      </c>
      <c r="JG4" s="134" t="s">
        <v>1</v>
      </c>
      <c r="JH4" s="134" t="s">
        <v>2</v>
      </c>
      <c r="JI4" s="134" t="s">
        <v>0</v>
      </c>
      <c r="JJ4" s="134" t="s">
        <v>1</v>
      </c>
      <c r="JK4" s="134" t="s">
        <v>2</v>
      </c>
      <c r="JL4" s="134" t="s">
        <v>0</v>
      </c>
      <c r="JM4" s="134" t="s">
        <v>1</v>
      </c>
      <c r="JN4" s="134" t="s">
        <v>2</v>
      </c>
      <c r="JO4" s="134" t="s">
        <v>0</v>
      </c>
      <c r="JP4" s="134" t="s">
        <v>1</v>
      </c>
      <c r="JQ4" s="134" t="s">
        <v>2</v>
      </c>
      <c r="JR4" s="134" t="s">
        <v>0</v>
      </c>
      <c r="JS4" s="134" t="s">
        <v>1</v>
      </c>
      <c r="JT4" s="134" t="s">
        <v>2</v>
      </c>
      <c r="JU4" s="134" t="s">
        <v>0</v>
      </c>
      <c r="JV4" s="134" t="s">
        <v>1</v>
      </c>
      <c r="JW4" s="134" t="s">
        <v>2</v>
      </c>
      <c r="JX4" s="134" t="s">
        <v>0</v>
      </c>
      <c r="JY4" s="134" t="s">
        <v>1</v>
      </c>
      <c r="JZ4" s="134" t="s">
        <v>2</v>
      </c>
      <c r="KA4" s="134" t="s">
        <v>0</v>
      </c>
      <c r="KB4" s="134" t="s">
        <v>1</v>
      </c>
      <c r="KC4" s="134" t="s">
        <v>2</v>
      </c>
      <c r="KD4" s="134" t="s">
        <v>0</v>
      </c>
      <c r="KE4" s="134" t="s">
        <v>1</v>
      </c>
      <c r="KF4" s="134" t="s">
        <v>2</v>
      </c>
      <c r="KG4" s="134" t="s">
        <v>0</v>
      </c>
      <c r="KH4" s="134" t="s">
        <v>1</v>
      </c>
      <c r="KI4" s="134" t="s">
        <v>2</v>
      </c>
      <c r="KJ4" s="134" t="s">
        <v>0</v>
      </c>
      <c r="KK4" s="134" t="s">
        <v>1</v>
      </c>
      <c r="KL4" s="134" t="s">
        <v>2</v>
      </c>
      <c r="KM4" s="134" t="s">
        <v>0</v>
      </c>
      <c r="KN4" s="134" t="s">
        <v>1</v>
      </c>
      <c r="KO4" s="134" t="s">
        <v>2</v>
      </c>
      <c r="KP4" s="134" t="s">
        <v>0</v>
      </c>
      <c r="KQ4" s="134" t="s">
        <v>1</v>
      </c>
      <c r="KR4" s="134" t="s">
        <v>2</v>
      </c>
      <c r="KS4" s="134" t="s">
        <v>0</v>
      </c>
      <c r="KT4" s="134" t="s">
        <v>1</v>
      </c>
      <c r="KU4" s="134" t="s">
        <v>2</v>
      </c>
      <c r="KV4" s="134" t="s">
        <v>0</v>
      </c>
      <c r="KW4" s="134" t="s">
        <v>1</v>
      </c>
      <c r="KX4" s="134" t="s">
        <v>2</v>
      </c>
      <c r="KY4" s="134" t="s">
        <v>0</v>
      </c>
      <c r="KZ4" s="134" t="s">
        <v>1</v>
      </c>
      <c r="LA4" s="134" t="s">
        <v>2</v>
      </c>
      <c r="LB4" s="134" t="s">
        <v>0</v>
      </c>
      <c r="LC4" s="134" t="s">
        <v>1</v>
      </c>
      <c r="LD4" s="134" t="s">
        <v>2</v>
      </c>
      <c r="LE4" s="134" t="s">
        <v>0</v>
      </c>
      <c r="LF4" s="134" t="s">
        <v>1</v>
      </c>
      <c r="LG4" s="134" t="s">
        <v>2</v>
      </c>
      <c r="LH4" s="134" t="s">
        <v>0</v>
      </c>
      <c r="LI4" s="134" t="s">
        <v>1</v>
      </c>
      <c r="LJ4" s="134" t="s">
        <v>2</v>
      </c>
      <c r="LK4" s="134" t="s">
        <v>0</v>
      </c>
      <c r="LL4" s="134" t="s">
        <v>1</v>
      </c>
      <c r="LM4" s="134" t="s">
        <v>2</v>
      </c>
      <c r="LN4" s="134" t="s">
        <v>0</v>
      </c>
      <c r="LO4" s="134" t="s">
        <v>1</v>
      </c>
      <c r="LP4" s="134" t="s">
        <v>2</v>
      </c>
      <c r="LQ4" s="134" t="s">
        <v>0</v>
      </c>
      <c r="LR4" s="134" t="s">
        <v>1</v>
      </c>
      <c r="LS4" s="134" t="s">
        <v>2</v>
      </c>
      <c r="LT4" s="134" t="s">
        <v>0</v>
      </c>
      <c r="LU4" s="134" t="s">
        <v>1</v>
      </c>
      <c r="LV4" s="134" t="s">
        <v>2</v>
      </c>
      <c r="LW4" s="134" t="s">
        <v>0</v>
      </c>
      <c r="LX4" s="134" t="s">
        <v>1</v>
      </c>
      <c r="LY4" s="134" t="s">
        <v>2</v>
      </c>
      <c r="LZ4" s="134" t="s">
        <v>0</v>
      </c>
      <c r="MA4" s="134" t="s">
        <v>1</v>
      </c>
      <c r="MB4" s="134" t="s">
        <v>2</v>
      </c>
      <c r="MC4" s="134" t="s">
        <v>0</v>
      </c>
      <c r="MD4" s="134" t="s">
        <v>1</v>
      </c>
      <c r="ME4" s="134" t="s">
        <v>2</v>
      </c>
      <c r="MF4" s="134" t="s">
        <v>0</v>
      </c>
      <c r="MG4" s="134" t="s">
        <v>1</v>
      </c>
      <c r="MH4" s="134" t="s">
        <v>2</v>
      </c>
      <c r="MI4" s="134" t="s">
        <v>0</v>
      </c>
      <c r="MJ4" s="134" t="s">
        <v>1</v>
      </c>
      <c r="MK4" s="134" t="s">
        <v>2</v>
      </c>
      <c r="ML4" s="134" t="s">
        <v>0</v>
      </c>
      <c r="MM4" s="134" t="s">
        <v>1</v>
      </c>
      <c r="MN4" s="134" t="s">
        <v>2</v>
      </c>
      <c r="MO4" s="134" t="s">
        <v>0</v>
      </c>
      <c r="MP4" s="134" t="s">
        <v>1</v>
      </c>
      <c r="MQ4" s="134" t="s">
        <v>2</v>
      </c>
      <c r="MR4" s="134" t="s">
        <v>0</v>
      </c>
      <c r="MS4" s="134" t="s">
        <v>1</v>
      </c>
      <c r="MT4" s="134" t="s">
        <v>2</v>
      </c>
      <c r="MU4" s="134" t="s">
        <v>0</v>
      </c>
      <c r="MV4" s="134" t="s">
        <v>1</v>
      </c>
      <c r="MW4" s="134" t="s">
        <v>2</v>
      </c>
      <c r="MX4" s="134" t="s">
        <v>0</v>
      </c>
      <c r="MY4" s="134" t="s">
        <v>1</v>
      </c>
      <c r="MZ4" s="134" t="s">
        <v>2</v>
      </c>
      <c r="NA4" s="134" t="s">
        <v>0</v>
      </c>
      <c r="NB4" s="134" t="s">
        <v>1</v>
      </c>
      <c r="NC4" s="134" t="s">
        <v>2</v>
      </c>
      <c r="ND4" s="134" t="s">
        <v>0</v>
      </c>
      <c r="NE4" s="134" t="s">
        <v>1</v>
      </c>
      <c r="NF4" s="134" t="s">
        <v>2</v>
      </c>
      <c r="NG4" s="134" t="s">
        <v>0</v>
      </c>
      <c r="NH4" s="134" t="s">
        <v>1</v>
      </c>
      <c r="NI4" s="134" t="s">
        <v>2</v>
      </c>
      <c r="NJ4" s="134" t="s">
        <v>0</v>
      </c>
      <c r="NK4" s="134" t="s">
        <v>1</v>
      </c>
      <c r="NL4" s="134" t="s">
        <v>2</v>
      </c>
      <c r="NM4" s="134" t="s">
        <v>0</v>
      </c>
      <c r="NN4" s="134" t="s">
        <v>1</v>
      </c>
      <c r="NO4" s="134" t="s">
        <v>2</v>
      </c>
      <c r="NP4" s="134" t="s">
        <v>0</v>
      </c>
      <c r="NQ4" s="134" t="s">
        <v>1</v>
      </c>
      <c r="NR4" s="134" t="s">
        <v>2</v>
      </c>
      <c r="NS4" s="134" t="s">
        <v>0</v>
      </c>
      <c r="NT4" s="134" t="s">
        <v>1</v>
      </c>
      <c r="NU4" s="134" t="s">
        <v>2</v>
      </c>
      <c r="NV4" s="134" t="s">
        <v>0</v>
      </c>
      <c r="NW4" s="134" t="s">
        <v>1</v>
      </c>
      <c r="NX4" s="134" t="s">
        <v>2</v>
      </c>
      <c r="NY4" s="134" t="s">
        <v>0</v>
      </c>
      <c r="NZ4" s="134" t="s">
        <v>1</v>
      </c>
      <c r="OA4" s="134" t="s">
        <v>2</v>
      </c>
      <c r="OB4" s="134" t="s">
        <v>0</v>
      </c>
      <c r="OC4" s="134" t="s">
        <v>1</v>
      </c>
      <c r="OD4" s="134" t="s">
        <v>2</v>
      </c>
      <c r="OE4" s="134" t="s">
        <v>0</v>
      </c>
      <c r="OF4" s="134" t="s">
        <v>1</v>
      </c>
      <c r="OG4" s="134" t="s">
        <v>2</v>
      </c>
      <c r="OH4" s="134" t="s">
        <v>0</v>
      </c>
      <c r="OI4" s="134" t="s">
        <v>1</v>
      </c>
      <c r="OJ4" s="134" t="s">
        <v>2</v>
      </c>
      <c r="OK4" s="134" t="s">
        <v>0</v>
      </c>
      <c r="OL4" s="134" t="s">
        <v>1</v>
      </c>
      <c r="OM4" s="134" t="s">
        <v>2</v>
      </c>
      <c r="ON4" s="134" t="s">
        <v>0</v>
      </c>
      <c r="OO4" s="134" t="s">
        <v>1</v>
      </c>
      <c r="OP4" s="134" t="s">
        <v>2</v>
      </c>
      <c r="OQ4" s="134" t="s">
        <v>0</v>
      </c>
      <c r="OR4" s="134" t="s">
        <v>1</v>
      </c>
      <c r="OS4" s="134" t="s">
        <v>2</v>
      </c>
      <c r="OT4" s="134" t="s">
        <v>0</v>
      </c>
      <c r="OU4" s="134" t="s">
        <v>1</v>
      </c>
      <c r="OV4" s="134" t="s">
        <v>2</v>
      </c>
      <c r="OW4" s="134" t="s">
        <v>0</v>
      </c>
      <c r="OX4" s="134" t="s">
        <v>1</v>
      </c>
      <c r="OY4" s="134" t="s">
        <v>2</v>
      </c>
      <c r="OZ4" s="134" t="s">
        <v>0</v>
      </c>
      <c r="PA4" s="134" t="s">
        <v>1</v>
      </c>
      <c r="PB4" s="134" t="s">
        <v>2</v>
      </c>
      <c r="PC4" s="134" t="s">
        <v>0</v>
      </c>
      <c r="PD4" s="134" t="s">
        <v>1</v>
      </c>
      <c r="PE4" s="134" t="s">
        <v>2</v>
      </c>
      <c r="PF4" s="134" t="s">
        <v>0</v>
      </c>
      <c r="PG4" s="134" t="s">
        <v>1</v>
      </c>
      <c r="PH4" s="134" t="s">
        <v>2</v>
      </c>
      <c r="PI4" s="134" t="s">
        <v>0</v>
      </c>
      <c r="PJ4" s="134" t="s">
        <v>1</v>
      </c>
      <c r="PK4" s="134" t="s">
        <v>2</v>
      </c>
      <c r="PL4" s="134" t="s">
        <v>0</v>
      </c>
      <c r="PM4" s="134" t="s">
        <v>1</v>
      </c>
      <c r="PN4" s="134" t="s">
        <v>2</v>
      </c>
      <c r="PO4" s="134" t="s">
        <v>0</v>
      </c>
      <c r="PP4" s="134" t="s">
        <v>1</v>
      </c>
      <c r="PQ4" s="134" t="s">
        <v>2</v>
      </c>
      <c r="PR4" s="134" t="s">
        <v>0</v>
      </c>
      <c r="PS4" s="134" t="s">
        <v>1</v>
      </c>
      <c r="PT4" s="134" t="s">
        <v>2</v>
      </c>
      <c r="PU4" s="134" t="s">
        <v>0</v>
      </c>
      <c r="PV4" s="134" t="s">
        <v>1</v>
      </c>
      <c r="PW4" s="134" t="s">
        <v>2</v>
      </c>
      <c r="PX4" s="134" t="s">
        <v>0</v>
      </c>
      <c r="PY4" s="134" t="s">
        <v>1</v>
      </c>
      <c r="PZ4" s="134" t="s">
        <v>2</v>
      </c>
      <c r="QA4" s="134" t="s">
        <v>0</v>
      </c>
      <c r="QB4" s="134" t="s">
        <v>1</v>
      </c>
      <c r="QC4" s="134" t="s">
        <v>2</v>
      </c>
      <c r="QD4" s="134" t="s">
        <v>0</v>
      </c>
      <c r="QE4" s="134" t="s">
        <v>1</v>
      </c>
      <c r="QF4" s="134" t="s">
        <v>2</v>
      </c>
      <c r="QG4" s="134" t="s">
        <v>0</v>
      </c>
      <c r="QH4" s="134" t="s">
        <v>1</v>
      </c>
      <c r="QI4" s="134" t="s">
        <v>2</v>
      </c>
      <c r="QJ4" s="134" t="s">
        <v>0</v>
      </c>
      <c r="QK4" s="134" t="s">
        <v>1</v>
      </c>
      <c r="QL4" s="134" t="s">
        <v>2</v>
      </c>
      <c r="QM4" s="134" t="s">
        <v>0</v>
      </c>
      <c r="QN4" s="134" t="s">
        <v>1</v>
      </c>
      <c r="QO4" s="134" t="s">
        <v>2</v>
      </c>
      <c r="QP4" s="134" t="s">
        <v>0</v>
      </c>
      <c r="QQ4" s="134" t="s">
        <v>1</v>
      </c>
      <c r="QR4" s="134" t="s">
        <v>2</v>
      </c>
      <c r="QS4" s="134" t="s">
        <v>0</v>
      </c>
      <c r="QT4" s="134" t="s">
        <v>1</v>
      </c>
      <c r="QU4" s="134" t="s">
        <v>2</v>
      </c>
      <c r="QV4" s="134" t="s">
        <v>0</v>
      </c>
      <c r="QW4" s="134" t="s">
        <v>1</v>
      </c>
      <c r="QX4" s="134" t="s">
        <v>2</v>
      </c>
      <c r="QY4" s="134" t="s">
        <v>0</v>
      </c>
      <c r="QZ4" s="134" t="s">
        <v>1</v>
      </c>
      <c r="RA4" s="134" t="s">
        <v>2</v>
      </c>
      <c r="RB4" s="134" t="s">
        <v>0</v>
      </c>
      <c r="RC4" s="134" t="s">
        <v>1</v>
      </c>
      <c r="RD4" s="134" t="s">
        <v>2</v>
      </c>
      <c r="RE4" s="134" t="s">
        <v>0</v>
      </c>
      <c r="RF4" s="134" t="s">
        <v>1</v>
      </c>
      <c r="RG4" s="134" t="s">
        <v>2</v>
      </c>
      <c r="RH4" s="134" t="s">
        <v>0</v>
      </c>
      <c r="RI4" s="134" t="s">
        <v>1</v>
      </c>
      <c r="RJ4" s="134" t="s">
        <v>2</v>
      </c>
      <c r="RK4" s="134" t="s">
        <v>0</v>
      </c>
      <c r="RL4" s="134" t="s">
        <v>1</v>
      </c>
      <c r="RM4" s="134" t="s">
        <v>2</v>
      </c>
      <c r="RN4" s="134" t="s">
        <v>0</v>
      </c>
      <c r="RO4" s="134" t="s">
        <v>1</v>
      </c>
      <c r="RP4" s="134" t="s">
        <v>2</v>
      </c>
      <c r="RQ4" s="134" t="s">
        <v>0</v>
      </c>
      <c r="RR4" s="134" t="s">
        <v>1</v>
      </c>
      <c r="RS4" s="134" t="s">
        <v>2</v>
      </c>
      <c r="RT4" s="134" t="s">
        <v>0</v>
      </c>
      <c r="RU4" s="134" t="s">
        <v>1</v>
      </c>
      <c r="RV4" s="134" t="s">
        <v>2</v>
      </c>
      <c r="RW4" s="134" t="s">
        <v>0</v>
      </c>
      <c r="RX4" s="134" t="s">
        <v>1</v>
      </c>
      <c r="RY4" s="134" t="s">
        <v>2</v>
      </c>
      <c r="RZ4" s="134" t="s">
        <v>0</v>
      </c>
      <c r="SA4" s="134" t="s">
        <v>1</v>
      </c>
      <c r="SB4" s="134" t="s">
        <v>2</v>
      </c>
      <c r="SC4" s="134" t="s">
        <v>0</v>
      </c>
      <c r="SD4" s="134" t="s">
        <v>1</v>
      </c>
      <c r="SE4" s="134" t="s">
        <v>2</v>
      </c>
      <c r="SF4" s="134" t="s">
        <v>0</v>
      </c>
      <c r="SG4" s="134" t="s">
        <v>1</v>
      </c>
      <c r="SH4" s="134" t="s">
        <v>2</v>
      </c>
      <c r="SI4" s="134" t="s">
        <v>0</v>
      </c>
      <c r="SJ4" s="134" t="s">
        <v>1</v>
      </c>
      <c r="SK4" s="134" t="s">
        <v>2</v>
      </c>
      <c r="SL4" s="134" t="s">
        <v>0</v>
      </c>
      <c r="SM4" s="134" t="s">
        <v>1</v>
      </c>
      <c r="SN4" s="134" t="s">
        <v>2</v>
      </c>
      <c r="SO4" s="134" t="s">
        <v>0</v>
      </c>
      <c r="SP4" s="134" t="s">
        <v>1</v>
      </c>
      <c r="SQ4" s="134" t="s">
        <v>2</v>
      </c>
      <c r="SR4" s="134" t="s">
        <v>0</v>
      </c>
      <c r="SS4" s="134" t="s">
        <v>1</v>
      </c>
      <c r="ST4" s="134" t="s">
        <v>2</v>
      </c>
      <c r="SU4" s="134" t="s">
        <v>0</v>
      </c>
      <c r="SV4" s="134" t="s">
        <v>1</v>
      </c>
      <c r="SW4" s="134" t="s">
        <v>2</v>
      </c>
      <c r="SX4" s="134" t="s">
        <v>0</v>
      </c>
      <c r="SY4" s="134" t="s">
        <v>1</v>
      </c>
      <c r="SZ4" s="134" t="s">
        <v>2</v>
      </c>
      <c r="TA4" s="134" t="s">
        <v>0</v>
      </c>
      <c r="TB4" s="134" t="s">
        <v>1</v>
      </c>
      <c r="TC4" s="134" t="s">
        <v>2</v>
      </c>
      <c r="TD4" s="134" t="s">
        <v>0</v>
      </c>
      <c r="TE4" s="134" t="s">
        <v>1</v>
      </c>
      <c r="TF4" s="134" t="s">
        <v>2</v>
      </c>
      <c r="TG4" s="134" t="s">
        <v>0</v>
      </c>
      <c r="TH4" s="134" t="s">
        <v>1</v>
      </c>
      <c r="TI4" s="134" t="s">
        <v>2</v>
      </c>
      <c r="TJ4" s="134" t="s">
        <v>0</v>
      </c>
      <c r="TK4" s="134" t="s">
        <v>1</v>
      </c>
      <c r="TL4" s="134" t="s">
        <v>2</v>
      </c>
      <c r="TM4" s="134" t="s">
        <v>0</v>
      </c>
      <c r="TN4" s="134" t="s">
        <v>1</v>
      </c>
      <c r="TO4" s="134" t="s">
        <v>2</v>
      </c>
      <c r="TP4" s="134" t="s">
        <v>0</v>
      </c>
      <c r="TQ4" s="134" t="s">
        <v>1</v>
      </c>
      <c r="TR4" s="134" t="s">
        <v>2</v>
      </c>
      <c r="TS4" s="134" t="s">
        <v>0</v>
      </c>
      <c r="TT4" s="134" t="s">
        <v>1</v>
      </c>
      <c r="TU4" s="134" t="s">
        <v>2</v>
      </c>
      <c r="TV4" s="134" t="s">
        <v>0</v>
      </c>
      <c r="TW4" s="134" t="s">
        <v>1</v>
      </c>
      <c r="TX4" s="134" t="s">
        <v>2</v>
      </c>
      <c r="TY4" s="134" t="s">
        <v>0</v>
      </c>
      <c r="TZ4" s="134" t="s">
        <v>1</v>
      </c>
      <c r="UA4" s="134" t="s">
        <v>2</v>
      </c>
      <c r="UB4" s="134" t="s">
        <v>0</v>
      </c>
      <c r="UC4" s="134" t="s">
        <v>1</v>
      </c>
      <c r="UD4" s="134" t="s">
        <v>2</v>
      </c>
      <c r="UE4" s="134" t="s">
        <v>0</v>
      </c>
      <c r="UF4" s="134" t="s">
        <v>1</v>
      </c>
      <c r="UG4" s="134" t="s">
        <v>2</v>
      </c>
      <c r="UH4" s="134" t="s">
        <v>0</v>
      </c>
      <c r="UI4" s="134" t="s">
        <v>1</v>
      </c>
      <c r="UJ4" s="134" t="s">
        <v>2</v>
      </c>
      <c r="UK4" s="134" t="s">
        <v>0</v>
      </c>
      <c r="UL4" s="134" t="s">
        <v>1</v>
      </c>
      <c r="UM4" s="134" t="s">
        <v>2</v>
      </c>
      <c r="UN4" s="134" t="s">
        <v>0</v>
      </c>
      <c r="UO4" s="134" t="s">
        <v>1</v>
      </c>
      <c r="UP4" s="134" t="s">
        <v>2</v>
      </c>
      <c r="UQ4" s="134" t="s">
        <v>0</v>
      </c>
      <c r="UR4" s="134" t="s">
        <v>1</v>
      </c>
      <c r="US4" s="134" t="s">
        <v>2</v>
      </c>
      <c r="UT4" s="134" t="s">
        <v>0</v>
      </c>
      <c r="UU4" s="134" t="s">
        <v>1</v>
      </c>
      <c r="UV4" s="134" t="s">
        <v>2</v>
      </c>
      <c r="UW4" s="134" t="s">
        <v>0</v>
      </c>
      <c r="UX4" s="134" t="s">
        <v>1</v>
      </c>
      <c r="UY4" s="134" t="s">
        <v>2</v>
      </c>
      <c r="UZ4" s="134" t="s">
        <v>0</v>
      </c>
      <c r="VA4" s="134" t="s">
        <v>1</v>
      </c>
      <c r="VB4" s="134" t="s">
        <v>2</v>
      </c>
      <c r="VC4" s="134" t="s">
        <v>0</v>
      </c>
      <c r="VD4" s="134" t="s">
        <v>1</v>
      </c>
      <c r="VE4" s="134" t="s">
        <v>2</v>
      </c>
      <c r="VF4" s="134" t="s">
        <v>0</v>
      </c>
      <c r="VG4" s="134" t="s">
        <v>1</v>
      </c>
      <c r="VH4" s="134" t="s">
        <v>2</v>
      </c>
      <c r="VI4" s="134" t="s">
        <v>0</v>
      </c>
      <c r="VJ4" s="134" t="s">
        <v>1</v>
      </c>
      <c r="VK4" s="134" t="s">
        <v>2</v>
      </c>
      <c r="VL4" s="134" t="s">
        <v>0</v>
      </c>
      <c r="VM4" s="134" t="s">
        <v>1</v>
      </c>
      <c r="VN4" s="134" t="s">
        <v>2</v>
      </c>
      <c r="VO4" s="134" t="s">
        <v>0</v>
      </c>
      <c r="VP4" s="134" t="s">
        <v>1</v>
      </c>
      <c r="VQ4" s="134" t="s">
        <v>2</v>
      </c>
      <c r="VR4" s="134" t="s">
        <v>0</v>
      </c>
      <c r="VS4" s="134" t="s">
        <v>1</v>
      </c>
      <c r="VT4" s="134" t="s">
        <v>2</v>
      </c>
      <c r="VU4" s="134" t="s">
        <v>0</v>
      </c>
      <c r="VV4" s="134" t="s">
        <v>1</v>
      </c>
      <c r="VW4" s="134" t="s">
        <v>2</v>
      </c>
      <c r="VX4" s="134" t="s">
        <v>0</v>
      </c>
      <c r="VY4" s="134" t="s">
        <v>1</v>
      </c>
      <c r="VZ4" s="134" t="s">
        <v>2</v>
      </c>
      <c r="WA4" s="134" t="s">
        <v>0</v>
      </c>
      <c r="WB4" s="134" t="s">
        <v>1</v>
      </c>
      <c r="WC4" s="134" t="s">
        <v>2</v>
      </c>
      <c r="WD4" s="133"/>
      <c r="WE4" s="133"/>
      <c r="WF4" s="133"/>
      <c r="WG4" s="133"/>
      <c r="WH4" s="133"/>
      <c r="WI4" s="133"/>
      <c r="WJ4" s="133"/>
      <c r="WK4" s="133"/>
      <c r="WL4" s="133"/>
      <c r="WM4" s="133"/>
      <c r="WN4" s="133"/>
      <c r="WO4" s="133"/>
      <c r="WP4" s="133"/>
      <c r="WQ4" s="133"/>
      <c r="WR4" s="133"/>
      <c r="WS4" s="133"/>
      <c r="WT4" s="133"/>
      <c r="WU4" s="133"/>
      <c r="WV4" s="133"/>
      <c r="WW4" s="133"/>
      <c r="WX4" s="133"/>
      <c r="WY4" s="133"/>
      <c r="WZ4" s="133"/>
      <c r="XA4" s="133"/>
      <c r="XB4" s="133"/>
      <c r="XC4" s="133"/>
      <c r="XD4" s="133"/>
      <c r="XE4" s="133"/>
      <c r="XF4" s="133"/>
      <c r="XG4" s="133"/>
      <c r="XH4" s="133"/>
      <c r="XI4" s="133"/>
      <c r="XJ4" s="133"/>
      <c r="XK4" s="133"/>
      <c r="XL4" s="133"/>
      <c r="XM4" s="133"/>
      <c r="XN4" s="133"/>
      <c r="XO4" s="133"/>
      <c r="XP4" s="133"/>
      <c r="XQ4" s="133"/>
      <c r="XR4" s="133"/>
      <c r="XS4" s="133"/>
      <c r="XT4" s="133"/>
      <c r="XU4" s="133"/>
      <c r="XV4" s="133"/>
      <c r="XW4" s="133"/>
      <c r="XX4" s="133"/>
      <c r="XY4" s="133"/>
      <c r="XZ4" s="133"/>
      <c r="YA4" s="133"/>
      <c r="YB4" s="133"/>
      <c r="YC4" s="133"/>
      <c r="YD4" s="133"/>
      <c r="YE4" s="133"/>
      <c r="YF4" s="133"/>
      <c r="YG4" s="133"/>
      <c r="YH4" s="133"/>
      <c r="YI4" s="133"/>
      <c r="YJ4" s="133"/>
      <c r="YK4" s="133"/>
      <c r="YL4" s="133"/>
      <c r="YM4" s="133"/>
      <c r="YN4" s="133"/>
      <c r="YO4" s="133"/>
      <c r="YP4" s="133"/>
      <c r="YQ4" s="133"/>
      <c r="YR4" s="133"/>
      <c r="YS4" s="133"/>
      <c r="YT4" s="133"/>
      <c r="YU4" s="133"/>
      <c r="YV4" s="133"/>
      <c r="YW4" s="133"/>
      <c r="YX4" s="133"/>
      <c r="YY4" s="133"/>
      <c r="YZ4" s="133"/>
      <c r="ZA4" s="133"/>
      <c r="ZB4" s="133"/>
      <c r="ZC4" s="133"/>
      <c r="ZD4" s="133"/>
      <c r="ZE4" s="133"/>
      <c r="ZF4" s="133"/>
      <c r="ZG4" s="133"/>
      <c r="ZH4" s="133"/>
      <c r="ZI4" s="133"/>
      <c r="ZJ4" s="133"/>
      <c r="ZK4" s="133"/>
      <c r="ZL4" s="133"/>
      <c r="ZM4" s="133"/>
      <c r="ZN4" s="133"/>
      <c r="ZO4" s="133"/>
      <c r="ZP4" s="133"/>
      <c r="ZQ4" s="133"/>
      <c r="ZR4" s="133"/>
      <c r="ZS4" s="133"/>
      <c r="ZT4" s="133"/>
      <c r="ZU4" s="133"/>
      <c r="ZV4" s="133"/>
      <c r="ZW4" s="133"/>
      <c r="ZX4" s="133"/>
      <c r="ZY4" s="133"/>
      <c r="ZZ4" s="133"/>
      <c r="AAA4" s="133"/>
      <c r="AAB4" s="133"/>
      <c r="AAC4" s="133"/>
      <c r="AAD4" s="133"/>
      <c r="AAE4" s="133"/>
      <c r="AAF4" s="133"/>
      <c r="AAG4" s="133"/>
      <c r="AAH4" s="133"/>
      <c r="AAI4" s="133"/>
      <c r="AAJ4" s="133"/>
      <c r="AAK4" s="133"/>
      <c r="AAL4" s="133"/>
      <c r="AAM4" s="133"/>
      <c r="AAN4" s="133"/>
      <c r="AAO4" s="133"/>
      <c r="AAP4" s="133"/>
      <c r="AAQ4" s="133"/>
      <c r="AAR4" s="133"/>
      <c r="AAS4" s="133"/>
      <c r="AAT4" s="133"/>
      <c r="AAU4" s="133"/>
      <c r="AAV4" s="133"/>
      <c r="AAW4" s="133"/>
      <c r="AAX4" s="133"/>
      <c r="AAY4" s="133"/>
      <c r="AAZ4" s="133"/>
      <c r="ABA4" s="133"/>
      <c r="ABB4" s="133"/>
      <c r="ABC4" s="133"/>
      <c r="ABD4" s="133"/>
      <c r="ABE4" s="133"/>
      <c r="ABF4" s="133"/>
      <c r="ABG4" s="133"/>
      <c r="ABH4" s="133"/>
      <c r="ABI4" s="133"/>
      <c r="ABJ4" s="133"/>
      <c r="ABK4" s="133"/>
      <c r="ABL4" s="133"/>
      <c r="ABM4" s="133"/>
      <c r="ABN4" s="133"/>
      <c r="ABO4" s="133"/>
      <c r="ABP4" s="133"/>
      <c r="ABQ4" s="133"/>
      <c r="ABR4" s="133"/>
      <c r="ABS4" s="133"/>
      <c r="ABT4" s="133"/>
      <c r="ABU4" s="133"/>
      <c r="ABV4" s="133"/>
      <c r="ABW4" s="133"/>
      <c r="ABX4" s="133"/>
      <c r="ABY4" s="133"/>
      <c r="ABZ4" s="133"/>
      <c r="ACA4" s="133"/>
      <c r="ACB4" s="133"/>
      <c r="ACC4" s="133"/>
      <c r="ACD4" s="133"/>
      <c r="ACE4" s="133"/>
      <c r="ACF4" s="133"/>
      <c r="ACG4" s="133"/>
      <c r="ACH4" s="133"/>
      <c r="ACI4" s="133"/>
      <c r="ACJ4" s="133"/>
      <c r="ACK4" s="133"/>
      <c r="ACL4" s="133"/>
      <c r="ACM4" s="133"/>
      <c r="ACN4" s="133"/>
      <c r="ACO4" s="133"/>
      <c r="ACP4" s="133"/>
      <c r="ACQ4" s="133"/>
      <c r="ACR4" s="133"/>
      <c r="ACS4" s="133"/>
      <c r="ACT4" s="133"/>
      <c r="ACU4" s="133"/>
      <c r="ACV4" s="133"/>
      <c r="ACW4" s="133"/>
      <c r="ACX4" s="133"/>
      <c r="ACY4" s="133"/>
      <c r="ACZ4" s="133"/>
      <c r="ADA4" s="133"/>
      <c r="ADB4" s="133"/>
      <c r="ADC4" s="133"/>
      <c r="ADD4" s="133"/>
      <c r="ADE4" s="133"/>
      <c r="ADF4" s="133"/>
      <c r="ADG4" s="133"/>
      <c r="ADH4" s="133"/>
      <c r="ADI4" s="133"/>
      <c r="ADJ4" s="133"/>
      <c r="ADK4" s="133"/>
      <c r="ADL4" s="133"/>
      <c r="ADM4" s="133"/>
      <c r="ADN4" s="133"/>
      <c r="ADO4" s="133"/>
      <c r="ADP4" s="133"/>
      <c r="ADQ4" s="133"/>
      <c r="ADR4" s="133"/>
      <c r="ADS4" s="133"/>
      <c r="ADT4" s="133"/>
      <c r="ADU4" s="133"/>
      <c r="ADV4" s="133"/>
      <c r="ADW4" s="133"/>
      <c r="ADX4" s="133"/>
      <c r="ADY4" s="133"/>
      <c r="ADZ4" s="133"/>
      <c r="AEA4" s="133"/>
      <c r="AEB4" s="133"/>
      <c r="AEC4" s="133"/>
      <c r="AED4" s="133"/>
      <c r="AEE4" s="133"/>
      <c r="AEF4" s="133"/>
      <c r="AEG4" s="133"/>
      <c r="AEH4" s="133"/>
      <c r="AEI4" s="133"/>
      <c r="AEJ4" s="133"/>
      <c r="AEK4" s="133"/>
      <c r="AEL4" s="133"/>
      <c r="AEM4" s="133"/>
      <c r="AEN4" s="133"/>
      <c r="AEO4" s="133"/>
      <c r="AEP4" s="133"/>
      <c r="AEQ4" s="133"/>
      <c r="AER4" s="133"/>
      <c r="AES4" s="133"/>
      <c r="AET4" s="133"/>
      <c r="AEU4" s="133"/>
      <c r="AEV4" s="133"/>
      <c r="AEW4" s="133"/>
      <c r="AEX4" s="133"/>
      <c r="AEY4" s="133"/>
      <c r="AEZ4" s="133"/>
      <c r="AFA4" s="133"/>
      <c r="AFB4" s="133"/>
      <c r="AFC4" s="133"/>
      <c r="AFD4" s="133"/>
      <c r="AFE4" s="133"/>
      <c r="AFF4" s="133"/>
      <c r="AFG4" s="133"/>
      <c r="AFH4" s="133"/>
      <c r="AFI4" s="133"/>
      <c r="AFJ4" s="133"/>
      <c r="AFK4" s="133"/>
      <c r="AFL4" s="133"/>
      <c r="AFM4" s="133"/>
      <c r="AFN4" s="133"/>
      <c r="AFO4" s="133"/>
      <c r="AFP4" s="133"/>
      <c r="AFQ4" s="133"/>
      <c r="AFR4" s="133"/>
      <c r="AFS4" s="133"/>
      <c r="AFT4" s="133"/>
      <c r="AFU4" s="133"/>
      <c r="AFV4" s="133"/>
      <c r="AFW4" s="133"/>
      <c r="AFX4" s="133"/>
      <c r="AFY4" s="133"/>
      <c r="AFZ4" s="133"/>
      <c r="AGA4" s="133"/>
      <c r="AGB4" s="133"/>
      <c r="AGC4" s="133"/>
      <c r="AGD4" s="133"/>
      <c r="AGE4" s="133"/>
      <c r="AGF4" s="133"/>
      <c r="AGG4" s="133"/>
      <c r="AGH4" s="133"/>
      <c r="AGI4" s="133"/>
      <c r="AGJ4" s="133"/>
      <c r="AGK4" s="133"/>
      <c r="AGL4" s="133"/>
      <c r="AGM4" s="133"/>
      <c r="AGN4" s="133"/>
      <c r="AGO4" s="133"/>
      <c r="AGP4" s="133"/>
      <c r="AGQ4" s="133"/>
      <c r="AGR4" s="133"/>
      <c r="AGS4" s="133"/>
      <c r="AGT4" s="133"/>
      <c r="AGU4" s="133"/>
      <c r="AGV4" s="133"/>
      <c r="AGW4" s="133"/>
      <c r="AGX4" s="133"/>
      <c r="AGY4" s="133"/>
      <c r="AGZ4" s="133"/>
      <c r="AHA4" s="133"/>
      <c r="AHB4" s="133"/>
      <c r="AHC4" s="133"/>
      <c r="AHD4" s="133"/>
      <c r="AHE4" s="133"/>
      <c r="AHF4" s="133"/>
      <c r="AHG4" s="133"/>
      <c r="AHH4" s="133"/>
      <c r="AHI4" s="133"/>
      <c r="AHJ4" s="133"/>
      <c r="AHK4" s="133"/>
      <c r="AHL4" s="133"/>
      <c r="AHM4" s="133"/>
      <c r="AHN4" s="133"/>
      <c r="AHO4" s="133"/>
      <c r="AHP4" s="133"/>
      <c r="AHQ4" s="133"/>
      <c r="AHR4" s="133"/>
      <c r="AHS4" s="133"/>
      <c r="AHT4" s="133"/>
      <c r="AHU4" s="133"/>
      <c r="AHV4" s="133"/>
      <c r="AHW4" s="133"/>
      <c r="AHX4" s="133"/>
      <c r="AHY4" s="133"/>
      <c r="AHZ4" s="133"/>
      <c r="AIA4" s="133"/>
      <c r="AIB4" s="133"/>
      <c r="AIC4" s="133"/>
      <c r="AID4" s="133"/>
      <c r="AIE4" s="133"/>
      <c r="AIF4" s="133"/>
      <c r="AIG4" s="133"/>
      <c r="AIH4" s="133"/>
      <c r="AII4" s="133"/>
      <c r="AIJ4" s="133"/>
      <c r="AIK4" s="133"/>
      <c r="AIL4" s="133"/>
      <c r="AIM4" s="133"/>
      <c r="AIN4" s="133"/>
      <c r="AIO4" s="133"/>
      <c r="AIP4" s="133"/>
      <c r="AIQ4" s="133"/>
      <c r="AIR4" s="133"/>
      <c r="AIS4" s="133"/>
      <c r="AIT4" s="133"/>
      <c r="AIU4" s="133"/>
      <c r="AIV4" s="133"/>
      <c r="AIW4" s="133"/>
      <c r="AIX4" s="133"/>
      <c r="AIY4" s="133"/>
      <c r="AIZ4" s="133"/>
      <c r="AJA4" s="133"/>
      <c r="AJB4" s="133"/>
      <c r="AJC4" s="133"/>
      <c r="AJD4" s="133"/>
      <c r="AJE4" s="133"/>
      <c r="AJF4" s="133"/>
      <c r="AJG4" s="133"/>
      <c r="AJH4" s="133"/>
      <c r="AJI4" s="133"/>
      <c r="AJJ4" s="133"/>
      <c r="AJK4" s="133"/>
      <c r="AJL4" s="133"/>
      <c r="AJM4" s="133"/>
      <c r="AJN4" s="133"/>
      <c r="AJO4" s="133"/>
      <c r="AJP4" s="133"/>
      <c r="AJQ4" s="133"/>
      <c r="AJR4" s="133"/>
      <c r="AJS4" s="133"/>
      <c r="AJT4" s="133"/>
      <c r="AJU4" s="133"/>
      <c r="AJV4" s="133"/>
      <c r="AJW4" s="133"/>
      <c r="AJX4" s="133"/>
      <c r="AJY4" s="133"/>
      <c r="AJZ4" s="133"/>
      <c r="AKA4" s="133"/>
      <c r="AKB4" s="133"/>
      <c r="AKC4" s="133"/>
      <c r="AKD4" s="133"/>
      <c r="AKE4" s="133"/>
      <c r="AKF4" s="133"/>
      <c r="AKG4" s="133"/>
      <c r="AKH4" s="133"/>
      <c r="AKI4" s="133"/>
      <c r="AKJ4" s="133"/>
      <c r="AKK4" s="133"/>
      <c r="AKL4" s="133"/>
      <c r="AKM4" s="133"/>
      <c r="AKN4" s="133"/>
      <c r="AKO4" s="133"/>
      <c r="AKP4" s="133"/>
      <c r="AKQ4" s="133"/>
      <c r="AKR4" s="133"/>
      <c r="AKS4" s="133"/>
      <c r="AKT4" s="133"/>
      <c r="AKU4" s="133"/>
      <c r="AKV4" s="133"/>
      <c r="AKW4" s="133"/>
      <c r="AKX4" s="133"/>
      <c r="AKY4" s="133"/>
      <c r="AKZ4" s="133"/>
      <c r="ALA4" s="133"/>
      <c r="ALB4" s="133"/>
      <c r="ALC4" s="133"/>
      <c r="ALD4" s="133"/>
      <c r="ALE4" s="133"/>
      <c r="ALF4" s="133"/>
      <c r="ALG4" s="133"/>
      <c r="ALH4" s="133"/>
      <c r="ALI4" s="133"/>
      <c r="ALJ4" s="133"/>
      <c r="ALK4" s="133"/>
      <c r="ALL4" s="133"/>
      <c r="ALM4" s="133"/>
      <c r="ALN4" s="133"/>
      <c r="ALO4" s="133"/>
      <c r="ALP4" s="133"/>
      <c r="ALQ4" s="133"/>
      <c r="ALR4" s="133"/>
      <c r="ALS4" s="133"/>
      <c r="ALT4" s="133"/>
      <c r="ALU4" s="133"/>
      <c r="ALV4" s="133"/>
      <c r="ALW4" s="133"/>
      <c r="ALX4" s="133"/>
      <c r="ALY4" s="133"/>
      <c r="ALZ4" s="133"/>
      <c r="AMA4" s="133"/>
      <c r="AMB4" s="133"/>
      <c r="AMC4" s="133"/>
      <c r="AMD4" s="133"/>
      <c r="AME4" s="133"/>
      <c r="AMF4" s="133"/>
      <c r="AMG4" s="133"/>
      <c r="AMH4" s="133"/>
      <c r="AMI4" s="133"/>
      <c r="AMJ4" s="133"/>
      <c r="AMK4" s="133"/>
      <c r="AML4" s="133"/>
      <c r="AMM4" s="133"/>
      <c r="AMN4" s="133"/>
      <c r="AMO4" s="133"/>
      <c r="AMP4" s="133"/>
      <c r="AMQ4" s="133"/>
      <c r="AMR4" s="133"/>
      <c r="AMS4" s="133"/>
      <c r="AMT4" s="133"/>
      <c r="AMU4" s="133"/>
      <c r="AMV4" s="133"/>
      <c r="AMW4" s="133"/>
      <c r="AMX4" s="133"/>
      <c r="AMY4" s="133"/>
      <c r="AMZ4" s="133"/>
      <c r="ANA4" s="133"/>
      <c r="ANB4" s="133"/>
      <c r="ANC4" s="133"/>
      <c r="AND4" s="133"/>
      <c r="ANE4" s="133"/>
      <c r="ANF4" s="133"/>
      <c r="ANG4" s="133"/>
      <c r="ANH4" s="133"/>
      <c r="ANI4" s="133"/>
      <c r="ANJ4" s="133"/>
      <c r="ANK4" s="133"/>
      <c r="ANL4" s="133"/>
      <c r="ANM4" s="133"/>
      <c r="ANN4" s="133"/>
      <c r="ANO4" s="133"/>
      <c r="ANP4" s="133"/>
      <c r="ANQ4" s="133"/>
      <c r="ANR4" s="133"/>
      <c r="ANS4" s="133"/>
      <c r="ANT4" s="133"/>
      <c r="ANU4" s="133"/>
      <c r="ANV4" s="133"/>
      <c r="ANW4" s="133"/>
      <c r="ANX4" s="133"/>
      <c r="ANY4" s="133"/>
      <c r="ANZ4" s="133"/>
      <c r="AOA4" s="133"/>
      <c r="AOB4" s="133"/>
      <c r="AOC4" s="133"/>
      <c r="AOD4" s="133"/>
      <c r="AOE4" s="133"/>
      <c r="AOF4" s="133"/>
      <c r="AOG4" s="133"/>
      <c r="AOH4" s="133"/>
      <c r="AOI4" s="133"/>
      <c r="AOJ4" s="133"/>
      <c r="AOK4" s="133"/>
      <c r="AOL4" s="133"/>
      <c r="AOM4" s="133"/>
      <c r="AON4" s="133"/>
      <c r="AOO4" s="133"/>
      <c r="AOP4" s="133"/>
      <c r="AOQ4" s="133"/>
      <c r="AOR4" s="133"/>
      <c r="AOS4" s="133"/>
      <c r="AOT4" s="133"/>
      <c r="AOU4" s="133"/>
      <c r="AOV4" s="133"/>
      <c r="AOW4" s="133"/>
      <c r="AOX4" s="133"/>
      <c r="AOY4" s="133"/>
      <c r="AOZ4" s="133"/>
      <c r="APA4" s="133"/>
      <c r="APB4" s="133"/>
      <c r="APC4" s="133"/>
      <c r="APD4" s="133"/>
      <c r="APE4" s="133"/>
      <c r="APF4" s="133"/>
      <c r="APG4" s="133"/>
      <c r="APH4" s="133"/>
      <c r="API4" s="133"/>
      <c r="APJ4" s="133"/>
      <c r="APK4" s="133"/>
      <c r="APL4" s="133"/>
      <c r="APM4" s="133"/>
      <c r="APN4" s="133"/>
      <c r="APO4" s="133"/>
      <c r="APP4" s="133"/>
      <c r="APQ4" s="133"/>
      <c r="APR4" s="133"/>
      <c r="APS4" s="133"/>
      <c r="APT4" s="133"/>
      <c r="APU4" s="133"/>
      <c r="APV4" s="133"/>
      <c r="APW4" s="133"/>
      <c r="APX4" s="133"/>
      <c r="APY4" s="133"/>
      <c r="APZ4" s="133"/>
      <c r="AQA4" s="133"/>
      <c r="AQB4" s="133"/>
      <c r="AQC4" s="133"/>
      <c r="AQD4" s="133"/>
      <c r="AQE4" s="133"/>
      <c r="AQF4" s="133"/>
      <c r="AQG4" s="133"/>
      <c r="AQH4" s="133"/>
      <c r="AQI4" s="133"/>
      <c r="AQJ4" s="133"/>
      <c r="AQK4" s="133"/>
      <c r="AQL4" s="133"/>
      <c r="AQM4" s="133"/>
      <c r="AQN4" s="133"/>
      <c r="AQO4" s="133"/>
      <c r="AQP4" s="133"/>
      <c r="AQQ4" s="133"/>
      <c r="AQR4" s="133"/>
      <c r="AQS4" s="133"/>
      <c r="AQT4" s="133"/>
      <c r="AQU4" s="133"/>
      <c r="AQV4" s="133"/>
      <c r="AQW4" s="133"/>
      <c r="AQX4" s="133"/>
      <c r="AQY4" s="133"/>
      <c r="AQZ4" s="133"/>
      <c r="ARA4" s="133"/>
      <c r="ARB4" s="133"/>
      <c r="ARC4" s="133"/>
      <c r="ARD4" s="133"/>
      <c r="ARE4" s="133"/>
      <c r="ARF4" s="133"/>
      <c r="ARG4" s="133"/>
      <c r="ARH4" s="133"/>
      <c r="ARI4" s="133"/>
      <c r="ARJ4" s="133"/>
      <c r="ARK4" s="133"/>
      <c r="ARL4" s="133"/>
      <c r="ARM4" s="133"/>
      <c r="ARN4" s="133"/>
      <c r="ARO4" s="133"/>
      <c r="ARP4" s="133"/>
      <c r="ARQ4" s="133"/>
      <c r="ARR4" s="133"/>
      <c r="ARS4" s="133"/>
      <c r="ART4" s="133"/>
      <c r="ARU4" s="133"/>
      <c r="ARV4" s="133"/>
      <c r="ARW4" s="133"/>
      <c r="ARX4" s="133"/>
      <c r="ARY4" s="133"/>
      <c r="ARZ4" s="133"/>
      <c r="ASA4" s="133"/>
      <c r="ASB4" s="133"/>
      <c r="ASC4" s="133"/>
      <c r="ASD4" s="133"/>
      <c r="ASE4" s="133"/>
      <c r="ASF4" s="133"/>
      <c r="ASG4" s="133"/>
      <c r="ASH4" s="133"/>
      <c r="ASI4" s="133"/>
      <c r="ASJ4" s="133"/>
      <c r="ASK4" s="133"/>
      <c r="ASL4" s="133"/>
      <c r="ASM4" s="133"/>
      <c r="ASN4" s="133"/>
      <c r="ASO4" s="133"/>
      <c r="ASP4" s="133"/>
      <c r="ASQ4" s="133"/>
      <c r="ASR4" s="133"/>
      <c r="ASS4" s="133"/>
      <c r="AST4" s="133"/>
      <c r="ASU4" s="133"/>
      <c r="ASV4" s="133"/>
      <c r="ASW4" s="133"/>
      <c r="ASX4" s="133"/>
      <c r="ASY4" s="133"/>
      <c r="ASZ4" s="133"/>
      <c r="ATA4" s="133"/>
      <c r="ATB4" s="133"/>
      <c r="ATC4" s="133"/>
      <c r="ATD4" s="133"/>
      <c r="ATE4" s="133"/>
      <c r="ATF4" s="133"/>
      <c r="ATG4" s="133"/>
      <c r="ATH4" s="133"/>
      <c r="ATI4" s="133"/>
      <c r="ATJ4" s="133"/>
      <c r="ATK4" s="133"/>
      <c r="ATL4" s="133"/>
      <c r="ATM4" s="133"/>
      <c r="ATN4" s="133"/>
      <c r="ATO4" s="133"/>
      <c r="ATP4" s="133"/>
      <c r="ATQ4" s="133"/>
      <c r="ATR4" s="133"/>
      <c r="ATS4" s="133"/>
      <c r="ATT4" s="133"/>
      <c r="ATU4" s="133"/>
      <c r="ATV4" s="133"/>
      <c r="ATW4" s="133"/>
      <c r="ATX4" s="133"/>
      <c r="ATY4" s="133"/>
      <c r="ATZ4" s="133"/>
      <c r="AUA4" s="133"/>
      <c r="AUB4" s="133"/>
      <c r="AUC4" s="133"/>
      <c r="AUD4" s="133"/>
      <c r="AUE4" s="133"/>
      <c r="AUF4" s="133"/>
      <c r="AUG4" s="133"/>
      <c r="AUH4" s="133"/>
      <c r="AUI4" s="133"/>
      <c r="AUJ4" s="133"/>
      <c r="AUK4" s="133"/>
      <c r="AUL4" s="133"/>
      <c r="AUM4" s="133"/>
      <c r="AUN4" s="133"/>
      <c r="AUO4" s="133"/>
      <c r="AUP4" s="133"/>
      <c r="AUQ4" s="133"/>
      <c r="AUR4" s="133"/>
      <c r="AUS4" s="133"/>
      <c r="AUT4" s="133"/>
      <c r="AUU4" s="133"/>
      <c r="AUV4" s="133"/>
      <c r="AUW4" s="133"/>
      <c r="AUX4" s="133"/>
      <c r="AUY4" s="133"/>
      <c r="AUZ4" s="133"/>
      <c r="AVA4" s="133"/>
      <c r="AVB4" s="133"/>
      <c r="AVC4" s="133"/>
      <c r="AVD4" s="133"/>
      <c r="AVE4" s="133"/>
      <c r="AVF4" s="133"/>
      <c r="AVG4" s="133"/>
      <c r="AVH4" s="133"/>
      <c r="AVI4" s="133"/>
      <c r="AVJ4" s="133"/>
      <c r="AVK4" s="133"/>
      <c r="AVL4" s="133"/>
      <c r="AVM4" s="133"/>
      <c r="AVN4" s="133"/>
      <c r="AVO4" s="133"/>
      <c r="AVP4" s="133"/>
      <c r="AVQ4" s="133"/>
      <c r="AVR4" s="133"/>
      <c r="AVS4" s="133"/>
      <c r="AVT4" s="133"/>
      <c r="AVU4" s="133"/>
      <c r="AVV4" s="133"/>
      <c r="AVW4" s="133"/>
      <c r="AVX4" s="133"/>
      <c r="AVY4" s="133"/>
      <c r="AVZ4" s="133"/>
      <c r="AWA4" s="133"/>
      <c r="AWB4" s="133"/>
      <c r="AWC4" s="133"/>
      <c r="AWD4" s="133"/>
      <c r="AWE4" s="133"/>
      <c r="AWF4" s="133"/>
      <c r="AWG4" s="133"/>
      <c r="AWH4" s="133"/>
      <c r="AWI4" s="133"/>
      <c r="AWJ4" s="133"/>
      <c r="AWK4" s="133"/>
      <c r="AWL4" s="133"/>
      <c r="AWM4" s="133"/>
      <c r="AWN4" s="133"/>
      <c r="AWO4" s="133"/>
      <c r="AWP4" s="133"/>
      <c r="AWQ4" s="133"/>
      <c r="AWR4" s="133"/>
      <c r="AWS4" s="133"/>
      <c r="AWT4" s="133"/>
      <c r="AWU4" s="133"/>
      <c r="AWV4" s="133"/>
      <c r="AWW4" s="133"/>
      <c r="AWX4" s="133"/>
      <c r="AWY4" s="133"/>
      <c r="AWZ4" s="133"/>
      <c r="AXA4" s="133"/>
      <c r="AXB4" s="133"/>
      <c r="AXC4" s="133"/>
      <c r="AXD4" s="133"/>
      <c r="AXE4" s="133"/>
      <c r="AXF4" s="133"/>
      <c r="AXG4" s="133"/>
      <c r="AXH4" s="133"/>
      <c r="AXI4" s="133"/>
      <c r="AXJ4" s="133"/>
      <c r="AXK4" s="133"/>
      <c r="AXL4" s="133"/>
      <c r="AXM4" s="133"/>
      <c r="AXN4" s="133"/>
      <c r="AXO4" s="133"/>
      <c r="AXP4" s="133"/>
      <c r="AXQ4" s="133"/>
      <c r="AXR4" s="133"/>
      <c r="AXS4" s="133"/>
      <c r="AXT4" s="133"/>
      <c r="AXU4" s="133"/>
      <c r="AXV4" s="133"/>
      <c r="AXW4" s="133"/>
      <c r="AXX4" s="133"/>
      <c r="AXY4" s="133"/>
      <c r="AXZ4" s="133"/>
      <c r="AYA4" s="133"/>
      <c r="AYB4" s="133"/>
      <c r="AYC4" s="133"/>
      <c r="AYD4" s="133"/>
      <c r="AYE4" s="133"/>
      <c r="AYF4" s="133"/>
      <c r="AYG4" s="133"/>
      <c r="AYH4" s="133"/>
      <c r="AYI4" s="133"/>
      <c r="AYJ4" s="133"/>
      <c r="AYK4" s="133"/>
      <c r="AYL4" s="133"/>
      <c r="AYM4" s="133"/>
      <c r="AYN4" s="133"/>
      <c r="AYO4" s="133"/>
      <c r="AYP4" s="133"/>
      <c r="AYQ4" s="133"/>
      <c r="AYR4" s="133"/>
      <c r="AYS4" s="133"/>
      <c r="AYT4" s="133"/>
      <c r="AYU4" s="133"/>
      <c r="AYV4" s="133"/>
      <c r="AYW4" s="133"/>
      <c r="AYX4" s="133"/>
      <c r="AYY4" s="133"/>
      <c r="AYZ4" s="133"/>
      <c r="AZA4" s="133"/>
      <c r="AZB4" s="133"/>
      <c r="AZC4" s="133"/>
      <c r="AZD4" s="133"/>
      <c r="AZE4" s="133"/>
      <c r="AZF4" s="133"/>
      <c r="AZG4" s="133"/>
      <c r="AZH4" s="133"/>
      <c r="AZI4" s="133"/>
      <c r="AZJ4" s="133"/>
      <c r="AZK4" s="133"/>
      <c r="AZL4" s="133"/>
      <c r="AZM4" s="133"/>
      <c r="AZN4" s="133"/>
      <c r="AZO4" s="133"/>
      <c r="AZP4" s="133"/>
      <c r="AZQ4" s="133"/>
      <c r="AZR4" s="133"/>
      <c r="AZS4" s="133"/>
      <c r="AZT4" s="133"/>
      <c r="AZU4" s="133"/>
      <c r="AZV4" s="133"/>
      <c r="AZW4" s="133"/>
      <c r="AZX4" s="133"/>
      <c r="AZY4" s="133"/>
      <c r="AZZ4" s="133"/>
      <c r="BAA4" s="133"/>
      <c r="BAB4" s="133"/>
      <c r="BAC4" s="133"/>
      <c r="BAD4" s="133"/>
      <c r="BAE4" s="133"/>
      <c r="BAF4" s="133"/>
      <c r="BAG4" s="133"/>
      <c r="BAH4" s="133"/>
      <c r="BAI4" s="133"/>
      <c r="BAJ4" s="133"/>
      <c r="BAK4" s="133"/>
      <c r="BAL4" s="133"/>
      <c r="BAM4" s="133"/>
      <c r="BAN4" s="133"/>
      <c r="BAO4" s="133"/>
      <c r="BAP4" s="133"/>
      <c r="BAQ4" s="133"/>
      <c r="BAR4" s="133"/>
      <c r="BAS4" s="133"/>
      <c r="BAT4" s="133"/>
      <c r="BAU4" s="133"/>
      <c r="BAV4" s="133"/>
      <c r="BAW4" s="133"/>
      <c r="BAX4" s="133"/>
      <c r="BAY4" s="133"/>
      <c r="BAZ4" s="133"/>
      <c r="BBA4" s="133"/>
      <c r="BBB4" s="133"/>
      <c r="BBC4" s="133"/>
      <c r="BBD4" s="133"/>
      <c r="BBE4" s="133"/>
      <c r="BBF4" s="133"/>
      <c r="BBG4" s="133"/>
      <c r="BBH4" s="133"/>
      <c r="BBI4" s="133"/>
      <c r="BBJ4" s="133"/>
      <c r="BBK4" s="133"/>
      <c r="BBL4" s="133"/>
      <c r="BBM4" s="133"/>
      <c r="BBN4" s="133"/>
      <c r="BBO4" s="133"/>
      <c r="BBP4" s="133"/>
      <c r="BBQ4" s="133"/>
      <c r="BBR4" s="133"/>
      <c r="BBS4" s="133"/>
      <c r="BBT4" s="133"/>
      <c r="BBU4" s="133"/>
      <c r="BBV4" s="133"/>
      <c r="BBW4" s="133"/>
      <c r="BBX4" s="133"/>
      <c r="BBY4" s="133"/>
      <c r="BBZ4" s="133"/>
      <c r="BCA4" s="133"/>
      <c r="BCB4" s="133"/>
      <c r="BCC4" s="133"/>
      <c r="BCD4" s="133"/>
      <c r="BCE4" s="133"/>
      <c r="BCF4" s="133"/>
      <c r="BCG4" s="133"/>
      <c r="BCH4" s="133"/>
      <c r="BCI4" s="133"/>
      <c r="BCJ4" s="133"/>
      <c r="BCK4" s="133"/>
      <c r="BCL4" s="133"/>
      <c r="BCM4" s="133"/>
      <c r="BCN4" s="133"/>
      <c r="BCO4" s="133"/>
      <c r="BCP4" s="133"/>
      <c r="BCQ4" s="133"/>
      <c r="BCR4" s="133"/>
      <c r="BCS4" s="133"/>
      <c r="BCT4" s="133"/>
      <c r="BCU4" s="133"/>
      <c r="BCV4" s="133"/>
      <c r="BCW4" s="133"/>
      <c r="BCX4" s="133"/>
      <c r="BCY4" s="133"/>
      <c r="BCZ4" s="133"/>
      <c r="BDA4" s="133"/>
      <c r="BDB4" s="133"/>
      <c r="BDC4" s="133"/>
      <c r="BDD4" s="133"/>
      <c r="BDE4" s="133"/>
      <c r="BDF4" s="133"/>
      <c r="BDG4" s="133"/>
      <c r="BDH4" s="133"/>
      <c r="BDI4" s="133"/>
      <c r="BDJ4" s="133"/>
      <c r="BDK4" s="133"/>
      <c r="BDL4" s="133"/>
      <c r="BDM4" s="133"/>
      <c r="BDN4" s="133"/>
      <c r="BDO4" s="133"/>
      <c r="BDP4" s="133"/>
      <c r="BDQ4" s="133"/>
      <c r="BDR4" s="133"/>
      <c r="BDS4" s="133"/>
      <c r="BDT4" s="133"/>
      <c r="BDU4" s="133"/>
      <c r="BDV4" s="133"/>
      <c r="BDW4" s="133"/>
      <c r="BDX4" s="133"/>
      <c r="BDY4" s="133"/>
      <c r="BDZ4" s="133"/>
      <c r="BEA4" s="133"/>
      <c r="BEB4" s="133"/>
      <c r="BEC4" s="133"/>
      <c r="BED4" s="133"/>
      <c r="BEE4" s="133"/>
      <c r="BEF4" s="133"/>
      <c r="BEG4" s="133"/>
      <c r="BEH4" s="133"/>
      <c r="BEI4" s="133"/>
      <c r="BEJ4" s="133"/>
      <c r="BEK4" s="133"/>
      <c r="BEL4" s="133"/>
      <c r="BEM4" s="133"/>
      <c r="BEN4" s="133"/>
      <c r="BEO4" s="133"/>
      <c r="BEP4" s="133"/>
      <c r="BEQ4" s="133"/>
      <c r="BER4" s="133"/>
      <c r="BES4" s="133"/>
      <c r="BET4" s="133"/>
      <c r="BEU4" s="133"/>
      <c r="BEV4" s="133"/>
      <c r="BEW4" s="133"/>
      <c r="BEX4" s="133"/>
      <c r="BEY4" s="133"/>
      <c r="BEZ4" s="133"/>
      <c r="BFA4" s="133"/>
      <c r="BFB4" s="133"/>
      <c r="BFC4" s="133"/>
      <c r="BFD4" s="133"/>
      <c r="BFE4" s="133"/>
      <c r="BFF4" s="133"/>
      <c r="BFG4" s="133"/>
      <c r="BFH4" s="133"/>
      <c r="BFI4" s="133"/>
      <c r="BFJ4" s="133"/>
      <c r="BFK4" s="133"/>
      <c r="BFL4" s="133"/>
      <c r="BFM4" s="133"/>
      <c r="BFN4" s="133"/>
      <c r="BFO4" s="133"/>
      <c r="BFP4" s="133"/>
      <c r="BFQ4" s="133"/>
      <c r="BFR4" s="133"/>
      <c r="BFS4" s="133"/>
      <c r="BFT4" s="133"/>
      <c r="BFU4" s="133"/>
      <c r="BFV4" s="133"/>
      <c r="BFW4" s="133"/>
      <c r="BFX4" s="133"/>
      <c r="BFY4" s="133"/>
      <c r="BFZ4" s="133"/>
      <c r="BGA4" s="133"/>
      <c r="BGB4" s="133"/>
      <c r="BGC4" s="133"/>
      <c r="BGD4" s="133"/>
      <c r="BGE4" s="133"/>
      <c r="BGF4" s="133"/>
      <c r="BGG4" s="133"/>
      <c r="BGH4" s="133"/>
      <c r="BGI4" s="133"/>
      <c r="BGJ4" s="133"/>
      <c r="BGK4" s="133"/>
      <c r="BGL4" s="133"/>
      <c r="BGM4" s="133"/>
      <c r="BGN4" s="133"/>
      <c r="BGO4" s="133"/>
      <c r="BGP4" s="133"/>
      <c r="BGQ4" s="133"/>
      <c r="BGR4" s="133"/>
      <c r="BGS4" s="133"/>
      <c r="BGT4" s="133"/>
      <c r="BGU4" s="133"/>
      <c r="BGV4" s="133"/>
      <c r="BGW4" s="133"/>
      <c r="BGX4" s="133"/>
      <c r="BGY4" s="133"/>
      <c r="BGZ4" s="133"/>
      <c r="BHA4" s="133"/>
      <c r="BHB4" s="133"/>
      <c r="BHC4" s="133"/>
      <c r="BHD4" s="133"/>
      <c r="BHE4" s="133"/>
      <c r="BHF4" s="133"/>
      <c r="BHG4" s="133"/>
      <c r="BHH4" s="133"/>
      <c r="BHI4" s="133"/>
      <c r="BHJ4" s="133"/>
      <c r="BHK4" s="133"/>
      <c r="BHL4" s="133"/>
      <c r="BHM4" s="133"/>
      <c r="BHN4" s="133"/>
      <c r="BHO4" s="133"/>
      <c r="BHP4" s="133"/>
      <c r="BHQ4" s="133"/>
      <c r="BHR4" s="133"/>
      <c r="BHS4" s="133"/>
      <c r="BHT4" s="133"/>
      <c r="BHU4" s="133"/>
      <c r="BHV4" s="133"/>
      <c r="BHW4" s="133"/>
      <c r="BHX4" s="133"/>
      <c r="BHY4" s="133"/>
      <c r="BHZ4" s="133"/>
      <c r="BIA4" s="133"/>
      <c r="BIB4" s="133"/>
      <c r="BIC4" s="133"/>
      <c r="BID4" s="133"/>
      <c r="BIE4" s="133"/>
      <c r="BIF4" s="133"/>
      <c r="BIG4" s="133"/>
      <c r="BIH4" s="133"/>
      <c r="BII4" s="133"/>
      <c r="BIJ4" s="133"/>
      <c r="BIK4" s="133"/>
      <c r="BIL4" s="133"/>
      <c r="BIM4" s="133"/>
      <c r="BIN4" s="133"/>
      <c r="BIO4" s="133"/>
      <c r="BIP4" s="133"/>
      <c r="BIQ4" s="133"/>
      <c r="BIR4" s="133"/>
      <c r="BIS4" s="133"/>
      <c r="BIT4" s="133"/>
      <c r="BIU4" s="133"/>
      <c r="BIV4" s="133"/>
      <c r="BIW4" s="133"/>
      <c r="BIX4" s="133"/>
      <c r="BIY4" s="133"/>
      <c r="BIZ4" s="133"/>
      <c r="BJA4" s="133"/>
      <c r="BJB4" s="133"/>
      <c r="BJC4" s="133"/>
      <c r="BJD4" s="133"/>
      <c r="BJE4" s="133"/>
      <c r="BJF4" s="133"/>
      <c r="BJG4" s="133"/>
      <c r="BJH4" s="133"/>
      <c r="BJI4" s="133"/>
      <c r="BJJ4" s="133"/>
      <c r="BJK4" s="133"/>
      <c r="BJL4" s="133"/>
      <c r="BJM4" s="133"/>
      <c r="BJN4" s="133"/>
      <c r="BJO4" s="133"/>
      <c r="BJP4" s="133"/>
      <c r="BJQ4" s="133"/>
      <c r="BJR4" s="133"/>
      <c r="BJS4" s="133"/>
      <c r="BJT4" s="133"/>
      <c r="BJU4" s="133"/>
      <c r="BJV4" s="133"/>
      <c r="BJW4" s="133"/>
      <c r="BJX4" s="133"/>
      <c r="BJY4" s="133"/>
      <c r="BJZ4" s="133"/>
      <c r="BKA4" s="133"/>
      <c r="BKB4" s="133"/>
      <c r="BKC4" s="133"/>
      <c r="BKD4" s="133"/>
      <c r="BKE4" s="133"/>
      <c r="BKF4" s="133"/>
      <c r="BKG4" s="133"/>
      <c r="BKH4" s="133"/>
      <c r="BKI4" s="133"/>
      <c r="BKJ4" s="133"/>
      <c r="BKK4" s="133"/>
      <c r="BKL4" s="133"/>
      <c r="BKM4" s="133"/>
      <c r="BKN4" s="133"/>
      <c r="BKO4" s="133"/>
      <c r="BKP4" s="133"/>
      <c r="BKQ4" s="133"/>
      <c r="BKR4" s="133"/>
      <c r="BKS4" s="133"/>
      <c r="BKT4" s="133"/>
      <c r="BKU4" s="133"/>
      <c r="BKV4" s="133"/>
      <c r="BKW4" s="133"/>
      <c r="BKX4" s="133"/>
      <c r="BKY4" s="133"/>
      <c r="BKZ4" s="133"/>
      <c r="BLA4" s="133"/>
      <c r="BLB4" s="133"/>
      <c r="BLC4" s="133"/>
      <c r="BLD4" s="133"/>
      <c r="BLE4" s="133"/>
      <c r="BLF4" s="133"/>
      <c r="BLG4" s="133"/>
      <c r="BLH4" s="133"/>
      <c r="BLI4" s="133"/>
      <c r="BLJ4" s="133"/>
      <c r="BLK4" s="133"/>
      <c r="BLL4" s="133"/>
      <c r="BLM4" s="133"/>
      <c r="BLN4" s="133"/>
      <c r="BLO4" s="133"/>
      <c r="BLP4" s="133"/>
      <c r="BLQ4" s="133"/>
      <c r="BLR4" s="133"/>
      <c r="BLS4" s="133"/>
      <c r="BLT4" s="133"/>
      <c r="BLU4" s="133"/>
      <c r="BLV4" s="133"/>
      <c r="BLW4" s="133"/>
      <c r="BLX4" s="133"/>
      <c r="BLY4" s="133"/>
      <c r="BLZ4" s="133"/>
      <c r="BMA4" s="133"/>
      <c r="BMB4" s="133"/>
      <c r="BMC4" s="133"/>
      <c r="BMD4" s="133"/>
      <c r="BME4" s="133"/>
      <c r="BMF4" s="133"/>
      <c r="BMG4" s="133"/>
      <c r="BMH4" s="133"/>
      <c r="BMI4" s="133"/>
      <c r="BMJ4" s="133"/>
      <c r="BMK4" s="133"/>
      <c r="BML4" s="133"/>
      <c r="BMM4" s="133"/>
      <c r="BMN4" s="133"/>
      <c r="BMO4" s="133"/>
      <c r="BMP4" s="133"/>
      <c r="BMQ4" s="133"/>
      <c r="BMR4" s="133"/>
      <c r="BMS4" s="133"/>
      <c r="BMT4" s="133"/>
      <c r="BMU4" s="133"/>
      <c r="BMV4" s="133"/>
      <c r="BMW4" s="133"/>
      <c r="BMX4" s="133"/>
      <c r="BMY4" s="133"/>
      <c r="BMZ4" s="133"/>
      <c r="BNA4" s="133"/>
      <c r="BNB4" s="133"/>
      <c r="BNC4" s="133"/>
      <c r="BND4" s="133"/>
      <c r="BNE4" s="133"/>
      <c r="BNF4" s="133"/>
      <c r="BNG4" s="133"/>
      <c r="BNH4" s="133"/>
      <c r="BNI4" s="133"/>
      <c r="BNJ4" s="133"/>
      <c r="BNK4" s="133"/>
      <c r="BNL4" s="133"/>
      <c r="BNM4" s="133"/>
      <c r="BNN4" s="133"/>
      <c r="BNO4" s="133"/>
      <c r="BNP4" s="133"/>
      <c r="BNQ4" s="133"/>
      <c r="BNR4" s="133"/>
      <c r="BNS4" s="133"/>
      <c r="BNT4" s="133"/>
      <c r="BNU4" s="133"/>
      <c r="BNV4" s="133"/>
      <c r="BNW4" s="133"/>
      <c r="BNX4" s="133"/>
      <c r="BNY4" s="133"/>
      <c r="BNZ4" s="133"/>
      <c r="BOA4" s="133"/>
      <c r="BOB4" s="133"/>
      <c r="BOC4" s="133"/>
      <c r="BOD4" s="133"/>
      <c r="BOE4" s="133"/>
      <c r="BOF4" s="133"/>
      <c r="BOG4" s="133"/>
      <c r="BOH4" s="133"/>
      <c r="BOI4" s="133"/>
      <c r="BOJ4" s="133"/>
      <c r="BOK4" s="133"/>
      <c r="BOL4" s="133"/>
      <c r="BOM4" s="133"/>
      <c r="BON4" s="133"/>
      <c r="BOO4" s="133"/>
      <c r="BOP4" s="133"/>
      <c r="BOQ4" s="133"/>
      <c r="BOR4" s="133"/>
      <c r="BOS4" s="133"/>
      <c r="BOT4" s="133"/>
      <c r="BOU4" s="133"/>
      <c r="BOV4" s="133"/>
      <c r="BOW4" s="133"/>
      <c r="BOX4" s="133"/>
      <c r="BOY4" s="133"/>
      <c r="BOZ4" s="133"/>
      <c r="BPA4" s="133"/>
      <c r="BPB4" s="133"/>
      <c r="BPC4" s="133"/>
      <c r="BPD4" s="133"/>
      <c r="BPE4" s="133"/>
      <c r="BPF4" s="133"/>
      <c r="BPG4" s="133"/>
      <c r="BPH4" s="133"/>
      <c r="BPI4" s="133"/>
      <c r="BPJ4" s="133"/>
      <c r="BPK4" s="133"/>
      <c r="BPL4" s="133"/>
      <c r="BPM4" s="133"/>
      <c r="BPN4" s="133"/>
      <c r="BPO4" s="133"/>
      <c r="BPP4" s="133"/>
      <c r="BPQ4" s="133"/>
      <c r="BPR4" s="133"/>
      <c r="BPS4" s="133"/>
      <c r="BPT4" s="133"/>
      <c r="BPU4" s="133"/>
      <c r="BPV4" s="133"/>
      <c r="BPW4" s="133"/>
      <c r="BPX4" s="133"/>
      <c r="BPY4" s="133"/>
      <c r="BPZ4" s="133"/>
      <c r="BQA4" s="133"/>
      <c r="BQB4" s="133"/>
      <c r="BQC4" s="133"/>
      <c r="BQD4" s="133"/>
      <c r="BQE4" s="133"/>
      <c r="BQF4" s="133"/>
      <c r="BQG4" s="133"/>
      <c r="BQH4" s="133"/>
      <c r="BQI4" s="133"/>
      <c r="BQJ4" s="133"/>
      <c r="BQK4" s="133"/>
      <c r="BQL4" s="133"/>
      <c r="BQM4" s="133"/>
      <c r="BQN4" s="133"/>
      <c r="BQO4" s="133"/>
      <c r="BQP4" s="133"/>
      <c r="BQQ4" s="133"/>
      <c r="BQR4" s="133"/>
      <c r="BQS4" s="133"/>
      <c r="BQT4" s="133"/>
      <c r="BQU4" s="133"/>
      <c r="BQV4" s="133"/>
      <c r="BQW4" s="133"/>
      <c r="BQX4" s="133"/>
      <c r="BQY4" s="133"/>
      <c r="BQZ4" s="133"/>
      <c r="BRA4" s="133"/>
      <c r="BRB4" s="133"/>
      <c r="BRC4" s="133"/>
      <c r="BRD4" s="133"/>
      <c r="BRE4" s="133"/>
      <c r="BRF4" s="133"/>
      <c r="BRG4" s="133"/>
      <c r="BRH4" s="133"/>
      <c r="BRI4" s="133"/>
      <c r="BRJ4" s="133"/>
      <c r="BRK4" s="133"/>
      <c r="BRL4" s="133"/>
      <c r="BRM4" s="133"/>
      <c r="BRN4" s="133"/>
      <c r="BRO4" s="133"/>
      <c r="BRP4" s="133"/>
      <c r="BRQ4" s="133"/>
      <c r="BRR4" s="133"/>
      <c r="BRS4" s="133"/>
      <c r="BRT4" s="133"/>
      <c r="BRU4" s="133"/>
      <c r="BRV4" s="133"/>
      <c r="BRW4" s="133"/>
      <c r="BRX4" s="133"/>
      <c r="BRY4" s="133"/>
      <c r="BRZ4" s="133"/>
      <c r="BSA4" s="133"/>
      <c r="BSB4" s="133"/>
      <c r="BSC4" s="133"/>
      <c r="BSD4" s="133"/>
      <c r="BSE4" s="133"/>
      <c r="BSF4" s="133"/>
      <c r="BSG4" s="133"/>
      <c r="BSH4" s="133"/>
      <c r="BSI4" s="133"/>
      <c r="BSJ4" s="133"/>
      <c r="BSK4" s="133"/>
      <c r="BSL4" s="133"/>
      <c r="BSM4" s="133"/>
      <c r="BSN4" s="133"/>
      <c r="BSO4" s="133"/>
      <c r="BSP4" s="133"/>
      <c r="BSQ4" s="133"/>
      <c r="BSR4" s="133"/>
      <c r="BSS4" s="133"/>
      <c r="BST4" s="133"/>
      <c r="BSU4" s="133"/>
      <c r="BSV4" s="133"/>
      <c r="BSW4" s="133"/>
      <c r="BSX4" s="133"/>
      <c r="BSY4" s="133"/>
      <c r="BSZ4" s="133"/>
      <c r="BTA4" s="133"/>
      <c r="BTB4" s="133"/>
      <c r="BTC4" s="133"/>
      <c r="BTD4" s="133"/>
      <c r="BTE4" s="133"/>
      <c r="BTF4" s="133"/>
      <c r="BTG4" s="133"/>
      <c r="BTH4" s="133"/>
      <c r="BTI4" s="133"/>
      <c r="BTJ4" s="133"/>
      <c r="BTK4" s="133"/>
      <c r="BTL4" s="133"/>
      <c r="BTM4" s="133"/>
      <c r="BTN4" s="133"/>
      <c r="BTO4" s="133"/>
      <c r="BTP4" s="133"/>
      <c r="BTQ4" s="133"/>
      <c r="BTR4" s="133"/>
      <c r="BTS4" s="133"/>
      <c r="BTT4" s="133"/>
      <c r="BTU4" s="133"/>
      <c r="BTV4" s="133"/>
      <c r="BTW4" s="133"/>
      <c r="BTX4" s="133"/>
      <c r="BTY4" s="133"/>
      <c r="BTZ4" s="133"/>
      <c r="BUA4" s="133"/>
      <c r="BUB4" s="133"/>
      <c r="BUC4" s="133"/>
      <c r="BUD4" s="133"/>
      <c r="BUE4" s="133"/>
      <c r="BUF4" s="133"/>
      <c r="BUG4" s="133"/>
      <c r="BUH4" s="133"/>
      <c r="BUI4" s="133"/>
      <c r="BUJ4" s="133"/>
      <c r="BUK4" s="133"/>
      <c r="BUL4" s="133"/>
      <c r="BUM4" s="133"/>
      <c r="BUN4" s="133"/>
      <c r="BUO4" s="133"/>
      <c r="BUP4" s="133"/>
      <c r="BUQ4" s="133"/>
      <c r="BUR4" s="133"/>
      <c r="BUS4" s="133"/>
      <c r="BUT4" s="133"/>
      <c r="BUU4" s="133"/>
      <c r="BUV4" s="133"/>
      <c r="BUW4" s="133"/>
      <c r="BUX4" s="133"/>
      <c r="BUY4" s="133"/>
      <c r="BUZ4" s="133"/>
      <c r="BVA4" s="133"/>
      <c r="BVB4" s="133"/>
      <c r="BVC4" s="133"/>
      <c r="BVD4" s="133"/>
      <c r="BVE4" s="133"/>
      <c r="BVF4" s="133"/>
      <c r="BVG4" s="133"/>
      <c r="BVH4" s="133"/>
      <c r="BVI4" s="133"/>
      <c r="BVJ4" s="133"/>
      <c r="BVK4" s="133"/>
      <c r="BVL4" s="133"/>
      <c r="BVM4" s="133"/>
      <c r="BVN4" s="133"/>
      <c r="BVO4" s="133"/>
      <c r="BVP4" s="133"/>
      <c r="BVQ4" s="133"/>
      <c r="BVR4" s="133"/>
      <c r="BVS4" s="133"/>
      <c r="BVT4" s="133"/>
      <c r="BVU4" s="133"/>
      <c r="BVV4" s="133"/>
      <c r="BVW4" s="133"/>
      <c r="BVX4" s="133"/>
      <c r="BVY4" s="133"/>
      <c r="BVZ4" s="133"/>
      <c r="BWA4" s="133"/>
      <c r="BWB4" s="133"/>
      <c r="BWC4" s="133"/>
      <c r="BWD4" s="133"/>
      <c r="BWE4" s="133"/>
      <c r="BWF4" s="133"/>
      <c r="BWG4" s="133"/>
      <c r="BWH4" s="133"/>
      <c r="BWI4" s="133"/>
      <c r="BWJ4" s="133"/>
      <c r="BWK4" s="133"/>
      <c r="BWL4" s="133"/>
      <c r="BWM4" s="133"/>
      <c r="BWN4" s="133"/>
      <c r="BWO4" s="133"/>
      <c r="BWP4" s="133"/>
      <c r="BWQ4" s="133"/>
      <c r="BWR4" s="133"/>
      <c r="BWS4" s="133"/>
      <c r="BWT4" s="133"/>
      <c r="BWU4" s="133"/>
      <c r="BWV4" s="133"/>
      <c r="BWW4" s="133"/>
      <c r="BWX4" s="133"/>
      <c r="BWY4" s="133"/>
      <c r="BWZ4" s="133"/>
      <c r="BXA4" s="133"/>
      <c r="BXB4" s="133"/>
      <c r="BXC4" s="133"/>
      <c r="BXD4" s="133"/>
      <c r="BXE4" s="133"/>
      <c r="BXF4" s="133"/>
      <c r="BXG4" s="133"/>
      <c r="BXH4" s="133"/>
      <c r="BXI4" s="133"/>
      <c r="BXJ4" s="133"/>
      <c r="BXK4" s="133"/>
      <c r="BXL4" s="133"/>
      <c r="BXM4" s="133"/>
      <c r="BXN4" s="133"/>
      <c r="BXO4" s="133"/>
      <c r="BXP4" s="133"/>
      <c r="BXQ4" s="133"/>
      <c r="BXR4" s="133"/>
      <c r="BXS4" s="133"/>
      <c r="BXT4" s="133"/>
      <c r="BXU4" s="133"/>
      <c r="BXV4" s="133"/>
      <c r="BXW4" s="133"/>
      <c r="BXX4" s="133"/>
      <c r="BXY4" s="133"/>
      <c r="BXZ4" s="133"/>
      <c r="BYA4" s="133"/>
      <c r="BYB4" s="133"/>
      <c r="BYC4" s="133"/>
      <c r="BYD4" s="133"/>
      <c r="BYE4" s="133"/>
      <c r="BYF4" s="133"/>
      <c r="BYG4" s="133"/>
      <c r="BYH4" s="133"/>
      <c r="BYI4" s="133"/>
      <c r="BYJ4" s="133"/>
      <c r="BYK4" s="133"/>
      <c r="BYL4" s="133"/>
      <c r="BYM4" s="133"/>
      <c r="BYN4" s="133"/>
      <c r="BYO4" s="133"/>
      <c r="BYP4" s="133"/>
      <c r="BYQ4" s="133"/>
      <c r="BYR4" s="133"/>
      <c r="BYS4" s="133"/>
      <c r="BYT4" s="133"/>
      <c r="BYU4" s="133"/>
      <c r="BYV4" s="133"/>
      <c r="BYW4" s="133"/>
      <c r="BYX4" s="133"/>
      <c r="BYY4" s="133"/>
      <c r="BYZ4" s="133"/>
      <c r="BZA4" s="133"/>
      <c r="BZB4" s="133"/>
      <c r="BZC4" s="133"/>
      <c r="BZD4" s="133"/>
      <c r="BZE4" s="133"/>
      <c r="BZF4" s="133"/>
      <c r="BZG4" s="133"/>
      <c r="BZH4" s="133"/>
      <c r="BZI4" s="133"/>
      <c r="BZJ4" s="133"/>
      <c r="BZK4" s="133"/>
      <c r="BZL4" s="133"/>
      <c r="BZM4" s="133"/>
      <c r="BZN4" s="133"/>
      <c r="BZO4" s="133"/>
      <c r="BZP4" s="133"/>
      <c r="BZQ4" s="133"/>
      <c r="BZR4" s="133"/>
      <c r="BZS4" s="133"/>
      <c r="BZT4" s="133"/>
      <c r="BZU4" s="133"/>
      <c r="BZV4" s="133"/>
      <c r="BZW4" s="133"/>
      <c r="BZX4" s="133"/>
      <c r="BZY4" s="133"/>
      <c r="BZZ4" s="133"/>
      <c r="CAA4" s="133"/>
      <c r="CAB4" s="133"/>
      <c r="CAC4" s="133"/>
      <c r="CAD4" s="133"/>
      <c r="CAE4" s="133"/>
      <c r="CAF4" s="133"/>
      <c r="CAG4" s="133"/>
      <c r="CAH4" s="133"/>
      <c r="CAI4" s="133"/>
      <c r="CAJ4" s="133"/>
      <c r="CAK4" s="133"/>
      <c r="CAL4" s="133"/>
      <c r="CAM4" s="133"/>
      <c r="CAN4" s="133"/>
      <c r="CAO4" s="133"/>
      <c r="CAP4" s="133"/>
      <c r="CAQ4" s="133"/>
      <c r="CAR4" s="133"/>
      <c r="CAS4" s="133"/>
      <c r="CAT4" s="133"/>
      <c r="CAU4" s="133"/>
      <c r="CAV4" s="133"/>
      <c r="CAW4" s="133"/>
      <c r="CAX4" s="133"/>
      <c r="CAY4" s="133"/>
      <c r="CAZ4" s="133"/>
      <c r="CBA4" s="133"/>
      <c r="CBB4" s="133"/>
      <c r="CBC4" s="133"/>
      <c r="CBD4" s="133"/>
      <c r="CBE4" s="133"/>
      <c r="CBF4" s="133"/>
      <c r="CBG4" s="133"/>
      <c r="CBH4" s="133"/>
      <c r="CBI4" s="133"/>
      <c r="CBJ4" s="133"/>
      <c r="CBK4" s="133"/>
      <c r="CBL4" s="133"/>
      <c r="CBM4" s="133"/>
      <c r="CBN4" s="133"/>
      <c r="CBO4" s="133"/>
      <c r="CBP4" s="133"/>
      <c r="CBQ4" s="133"/>
      <c r="CBR4" s="133"/>
      <c r="CBS4" s="133"/>
      <c r="CBT4" s="133"/>
      <c r="CBU4" s="133"/>
      <c r="CBV4" s="133"/>
      <c r="CBW4" s="133"/>
      <c r="CBX4" s="133"/>
      <c r="CBY4" s="133"/>
      <c r="CBZ4" s="133"/>
      <c r="CCA4" s="133"/>
      <c r="CCB4" s="133"/>
      <c r="CCC4" s="133"/>
      <c r="CCD4" s="133"/>
      <c r="CCE4" s="133"/>
      <c r="CCF4" s="133"/>
      <c r="CCG4" s="133"/>
      <c r="CCH4" s="133"/>
      <c r="CCI4" s="133"/>
      <c r="CCJ4" s="133"/>
      <c r="CCK4" s="133"/>
      <c r="CCL4" s="133"/>
      <c r="CCM4" s="133"/>
      <c r="CCN4" s="133"/>
      <c r="CCO4" s="133"/>
      <c r="CCP4" s="133"/>
      <c r="CCQ4" s="133"/>
      <c r="CCR4" s="133"/>
      <c r="CCS4" s="133"/>
      <c r="CCT4" s="133"/>
      <c r="CCU4" s="133"/>
      <c r="CCV4" s="133"/>
      <c r="CCW4" s="133"/>
      <c r="CCX4" s="133"/>
      <c r="CCY4" s="133"/>
      <c r="CCZ4" s="133"/>
      <c r="CDA4" s="133"/>
      <c r="CDB4" s="133"/>
      <c r="CDC4" s="133"/>
      <c r="CDD4" s="133"/>
      <c r="CDE4" s="133"/>
      <c r="CDF4" s="133"/>
      <c r="CDG4" s="133"/>
      <c r="CDH4" s="133"/>
      <c r="CDI4" s="133"/>
      <c r="CDJ4" s="133"/>
      <c r="CDK4" s="133"/>
      <c r="CDL4" s="133"/>
      <c r="CDM4" s="133"/>
      <c r="CDN4" s="133"/>
      <c r="CDO4" s="133"/>
      <c r="CDP4" s="133"/>
      <c r="CDQ4" s="133"/>
      <c r="CDR4" s="133"/>
      <c r="CDS4" s="133"/>
      <c r="CDT4" s="133"/>
      <c r="CDU4" s="133"/>
      <c r="CDV4" s="133"/>
      <c r="CDW4" s="133"/>
      <c r="CDX4" s="133"/>
      <c r="CDY4" s="133"/>
      <c r="CDZ4" s="133"/>
      <c r="CEA4" s="133"/>
      <c r="CEB4" s="133"/>
      <c r="CEC4" s="133"/>
      <c r="CED4" s="133"/>
      <c r="CEE4" s="133"/>
      <c r="CEF4" s="133"/>
      <c r="CEG4" s="133"/>
      <c r="CEH4" s="133"/>
      <c r="CEI4" s="133"/>
      <c r="CEJ4" s="133"/>
      <c r="CEK4" s="133"/>
      <c r="CEL4" s="133"/>
      <c r="CEM4" s="133"/>
      <c r="CEN4" s="133"/>
      <c r="CEO4" s="133"/>
      <c r="CEP4" s="133"/>
      <c r="CEQ4" s="133"/>
      <c r="CER4" s="133"/>
      <c r="CES4" s="133"/>
      <c r="CET4" s="133"/>
      <c r="CEU4" s="133"/>
      <c r="CEV4" s="133"/>
      <c r="CEW4" s="133"/>
      <c r="CEX4" s="133"/>
      <c r="CEY4" s="133"/>
      <c r="CEZ4" s="133"/>
      <c r="CFA4" s="133"/>
      <c r="CFB4" s="133"/>
      <c r="CFC4" s="133"/>
      <c r="CFD4" s="133"/>
      <c r="CFE4" s="133"/>
      <c r="CFF4" s="133"/>
      <c r="CFG4" s="133"/>
      <c r="CFH4" s="133"/>
      <c r="CFI4" s="133"/>
      <c r="CFJ4" s="133"/>
      <c r="CFK4" s="133"/>
      <c r="CFL4" s="133"/>
      <c r="CFM4" s="133"/>
      <c r="CFN4" s="133"/>
      <c r="CFO4" s="133"/>
      <c r="CFP4" s="133"/>
      <c r="CFQ4" s="133"/>
      <c r="CFR4" s="133"/>
      <c r="CFS4" s="133"/>
      <c r="CFT4" s="133"/>
      <c r="CFU4" s="133"/>
      <c r="CFV4" s="133"/>
      <c r="CFW4" s="133"/>
      <c r="CFX4" s="133"/>
      <c r="CFY4" s="133"/>
      <c r="CFZ4" s="133"/>
      <c r="CGA4" s="133"/>
      <c r="CGB4" s="133"/>
      <c r="CGC4" s="133"/>
      <c r="CGD4" s="133"/>
      <c r="CGE4" s="133"/>
      <c r="CGF4" s="133"/>
      <c r="CGG4" s="133"/>
      <c r="CGH4" s="133"/>
      <c r="CGI4" s="133"/>
      <c r="CGJ4" s="133"/>
      <c r="CGK4" s="133"/>
      <c r="CGL4" s="133"/>
      <c r="CGM4" s="133"/>
      <c r="CGN4" s="133"/>
      <c r="CGO4" s="133"/>
      <c r="CGP4" s="133"/>
      <c r="CGQ4" s="133"/>
      <c r="CGR4" s="133"/>
      <c r="CGS4" s="133"/>
      <c r="CGT4" s="133"/>
      <c r="CGU4" s="133"/>
      <c r="CGV4" s="133"/>
      <c r="CGW4" s="133"/>
      <c r="CGX4" s="133"/>
      <c r="CGY4" s="133"/>
      <c r="CGZ4" s="133"/>
      <c r="CHA4" s="133"/>
      <c r="CHB4" s="133"/>
      <c r="CHC4" s="133"/>
      <c r="CHD4" s="133"/>
      <c r="CHE4" s="133"/>
      <c r="CHF4" s="133"/>
      <c r="CHG4" s="133"/>
      <c r="CHH4" s="133"/>
      <c r="CHI4" s="133"/>
      <c r="CHJ4" s="133"/>
      <c r="CHK4" s="133"/>
      <c r="CHL4" s="133"/>
      <c r="CHM4" s="133"/>
      <c r="CHN4" s="133"/>
      <c r="CHO4" s="133"/>
      <c r="CHP4" s="133"/>
      <c r="CHQ4" s="133"/>
      <c r="CHR4" s="133"/>
      <c r="CHS4" s="133"/>
      <c r="CHT4" s="133"/>
      <c r="CHU4" s="133"/>
      <c r="CHV4" s="133"/>
      <c r="CHW4" s="133"/>
      <c r="CHX4" s="133"/>
      <c r="CHY4" s="133"/>
      <c r="CHZ4" s="133"/>
      <c r="CIA4" s="133"/>
      <c r="CIB4" s="133"/>
      <c r="CIC4" s="133"/>
      <c r="CID4" s="133"/>
      <c r="CIE4" s="133"/>
      <c r="CIF4" s="133"/>
      <c r="CIG4" s="133"/>
      <c r="CIH4" s="133"/>
      <c r="CII4" s="133"/>
      <c r="CIJ4" s="133"/>
      <c r="CIK4" s="133"/>
      <c r="CIL4" s="133"/>
      <c r="CIM4" s="133"/>
      <c r="CIN4" s="133"/>
      <c r="CIO4" s="133"/>
      <c r="CIP4" s="133"/>
      <c r="CIQ4" s="133"/>
      <c r="CIR4" s="133"/>
      <c r="CIS4" s="133"/>
      <c r="CIT4" s="133"/>
      <c r="CIU4" s="133"/>
      <c r="CIV4" s="133"/>
      <c r="CIW4" s="133"/>
      <c r="CIX4" s="133"/>
      <c r="CIY4" s="133"/>
      <c r="CIZ4" s="133"/>
      <c r="CJA4" s="133"/>
      <c r="CJB4" s="133"/>
      <c r="CJC4" s="133"/>
      <c r="CJD4" s="133"/>
      <c r="CJE4" s="133"/>
      <c r="CJF4" s="133"/>
      <c r="CJG4" s="133"/>
      <c r="CJH4" s="133"/>
      <c r="CJI4" s="133"/>
      <c r="CJJ4" s="133"/>
      <c r="CJK4" s="133"/>
      <c r="CJL4" s="133"/>
      <c r="CJM4" s="133"/>
      <c r="CJN4" s="133"/>
      <c r="CJO4" s="133"/>
      <c r="CJP4" s="133"/>
      <c r="CJQ4" s="133"/>
      <c r="CJR4" s="133"/>
      <c r="CJS4" s="133"/>
      <c r="CJT4" s="133"/>
      <c r="CJU4" s="133"/>
      <c r="CJV4" s="133"/>
      <c r="CJW4" s="133"/>
      <c r="CJX4" s="133"/>
      <c r="CJY4" s="133"/>
      <c r="CJZ4" s="133"/>
      <c r="CKA4" s="133"/>
      <c r="CKB4" s="133"/>
      <c r="CKC4" s="133"/>
      <c r="CKD4" s="133"/>
      <c r="CKE4" s="133"/>
      <c r="CKF4" s="133"/>
      <c r="CKG4" s="133"/>
      <c r="CKH4" s="133"/>
      <c r="CKI4" s="133"/>
      <c r="CKJ4" s="133"/>
      <c r="CKK4" s="133"/>
      <c r="CKL4" s="133"/>
      <c r="CKM4" s="133"/>
      <c r="CKN4" s="133"/>
      <c r="CKO4" s="133"/>
      <c r="CKP4" s="133"/>
      <c r="CKQ4" s="133"/>
      <c r="CKR4" s="133"/>
      <c r="CKS4" s="133"/>
      <c r="CKT4" s="133"/>
      <c r="CKU4" s="133"/>
      <c r="CKV4" s="133"/>
      <c r="CKW4" s="133"/>
      <c r="CKX4" s="133"/>
      <c r="CKY4" s="133"/>
      <c r="CKZ4" s="133"/>
      <c r="CLA4" s="133"/>
      <c r="CLB4" s="133"/>
      <c r="CLC4" s="133"/>
      <c r="CLD4" s="133"/>
      <c r="CLE4" s="133"/>
      <c r="CLF4" s="133"/>
      <c r="CLG4" s="133"/>
      <c r="CLH4" s="133"/>
      <c r="CLI4" s="133"/>
      <c r="CLJ4" s="133"/>
      <c r="CLK4" s="133"/>
      <c r="CLL4" s="133"/>
      <c r="CLM4" s="133"/>
      <c r="CLN4" s="133"/>
      <c r="CLO4" s="133"/>
      <c r="CLP4" s="133"/>
      <c r="CLQ4" s="133"/>
      <c r="CLR4" s="133"/>
      <c r="CLS4" s="133"/>
      <c r="CLT4" s="133"/>
      <c r="CLU4" s="133"/>
      <c r="CLV4" s="133"/>
      <c r="CLW4" s="133"/>
      <c r="CLX4" s="133"/>
      <c r="CLY4" s="133"/>
      <c r="CLZ4" s="133"/>
      <c r="CMA4" s="133"/>
      <c r="CMB4" s="133"/>
      <c r="CMC4" s="133"/>
      <c r="CMD4" s="133"/>
      <c r="CME4" s="133"/>
      <c r="CMF4" s="133"/>
      <c r="CMG4" s="133"/>
      <c r="CMH4" s="133"/>
      <c r="CMI4" s="133"/>
      <c r="CMJ4" s="133"/>
      <c r="CMK4" s="133"/>
      <c r="CML4" s="133"/>
      <c r="CMM4" s="133"/>
      <c r="CMN4" s="133"/>
      <c r="CMO4" s="133"/>
      <c r="CMP4" s="133"/>
      <c r="CMQ4" s="133"/>
      <c r="CMR4" s="133"/>
      <c r="CMS4" s="133"/>
      <c r="CMT4" s="133"/>
      <c r="CMU4" s="133"/>
      <c r="CMV4" s="133"/>
      <c r="CMW4" s="133"/>
      <c r="CMX4" s="133"/>
      <c r="CMY4" s="133"/>
      <c r="CMZ4" s="133"/>
      <c r="CNA4" s="133"/>
      <c r="CNB4" s="133"/>
      <c r="CNC4" s="133"/>
      <c r="CND4" s="133"/>
      <c r="CNE4" s="133"/>
      <c r="CNF4" s="133"/>
      <c r="CNG4" s="133"/>
      <c r="CNH4" s="133"/>
      <c r="CNI4" s="133"/>
      <c r="CNJ4" s="133"/>
      <c r="CNK4" s="133"/>
      <c r="CNL4" s="133"/>
      <c r="CNM4" s="133"/>
      <c r="CNN4" s="133"/>
      <c r="CNO4" s="133"/>
      <c r="CNP4" s="133"/>
      <c r="CNQ4" s="133"/>
      <c r="CNR4" s="133"/>
      <c r="CNS4" s="133"/>
      <c r="CNT4" s="133"/>
      <c r="CNU4" s="133"/>
      <c r="CNV4" s="133"/>
      <c r="CNW4" s="133"/>
      <c r="CNX4" s="133"/>
      <c r="CNY4" s="133"/>
      <c r="CNZ4" s="133"/>
      <c r="COA4" s="133"/>
      <c r="COB4" s="133"/>
      <c r="COC4" s="133"/>
      <c r="COD4" s="133"/>
      <c r="COE4" s="133"/>
      <c r="COF4" s="133"/>
      <c r="COG4" s="133"/>
      <c r="COH4" s="133"/>
      <c r="COI4" s="133"/>
      <c r="COJ4" s="133"/>
      <c r="COK4" s="133"/>
      <c r="COL4" s="133"/>
      <c r="COM4" s="133"/>
      <c r="CON4" s="133"/>
      <c r="COO4" s="133"/>
      <c r="COP4" s="133"/>
      <c r="COQ4" s="133"/>
      <c r="COR4" s="133"/>
      <c r="COS4" s="133"/>
      <c r="COT4" s="133"/>
      <c r="COU4" s="133"/>
      <c r="COV4" s="133"/>
      <c r="COW4" s="133"/>
      <c r="COX4" s="133"/>
      <c r="COY4" s="133"/>
      <c r="COZ4" s="133"/>
      <c r="CPA4" s="133"/>
      <c r="CPB4" s="133"/>
      <c r="CPC4" s="133"/>
      <c r="CPD4" s="133"/>
      <c r="CPE4" s="133"/>
      <c r="CPF4" s="133"/>
      <c r="CPG4" s="133"/>
      <c r="CPH4" s="133"/>
      <c r="CPI4" s="133"/>
      <c r="CPJ4" s="133"/>
      <c r="CPK4" s="133"/>
      <c r="CPL4" s="133"/>
      <c r="CPM4" s="133"/>
      <c r="CPN4" s="133"/>
      <c r="CPO4" s="133"/>
      <c r="CPP4" s="133"/>
      <c r="CPQ4" s="133"/>
      <c r="CPR4" s="133"/>
      <c r="CPS4" s="133"/>
      <c r="CPT4" s="133"/>
      <c r="CPU4" s="133"/>
      <c r="CPV4" s="133"/>
      <c r="CPW4" s="133"/>
      <c r="CPX4" s="133"/>
      <c r="CPY4" s="133"/>
      <c r="CPZ4" s="133"/>
      <c r="CQA4" s="133"/>
      <c r="CQB4" s="133"/>
      <c r="CQC4" s="133"/>
      <c r="CQD4" s="133"/>
      <c r="CQE4" s="133"/>
      <c r="CQF4" s="133"/>
      <c r="CQG4" s="133"/>
      <c r="CQH4" s="133"/>
      <c r="CQI4" s="133"/>
      <c r="CQJ4" s="133"/>
      <c r="CQK4" s="133"/>
      <c r="CQL4" s="133"/>
      <c r="CQM4" s="133"/>
      <c r="CQN4" s="133"/>
      <c r="CQO4" s="133"/>
      <c r="CQP4" s="133"/>
      <c r="CQQ4" s="133"/>
      <c r="CQR4" s="133"/>
      <c r="CQS4" s="133"/>
      <c r="CQT4" s="133"/>
      <c r="CQU4" s="133"/>
      <c r="CQV4" s="133"/>
      <c r="CQW4" s="133"/>
      <c r="CQX4" s="133"/>
      <c r="CQY4" s="133"/>
      <c r="CQZ4" s="133"/>
      <c r="CRA4" s="133"/>
      <c r="CRB4" s="133"/>
      <c r="CRC4" s="133"/>
      <c r="CRD4" s="133"/>
      <c r="CRE4" s="133"/>
      <c r="CRF4" s="133"/>
      <c r="CRG4" s="133"/>
      <c r="CRH4" s="133"/>
      <c r="CRI4" s="133"/>
      <c r="CRJ4" s="133"/>
      <c r="CRK4" s="133"/>
      <c r="CRL4" s="133"/>
      <c r="CRM4" s="133"/>
      <c r="CRN4" s="133"/>
      <c r="CRO4" s="133"/>
      <c r="CRP4" s="133"/>
      <c r="CRQ4" s="133"/>
      <c r="CRR4" s="133"/>
      <c r="CRS4" s="133"/>
      <c r="CRT4" s="133"/>
      <c r="CRU4" s="133"/>
      <c r="CRV4" s="133"/>
      <c r="CRW4" s="133"/>
      <c r="CRX4" s="133"/>
      <c r="CRY4" s="133"/>
      <c r="CRZ4" s="133"/>
      <c r="CSA4" s="133"/>
      <c r="CSB4" s="133"/>
      <c r="CSC4" s="133"/>
      <c r="CSD4" s="133"/>
      <c r="CSE4" s="133"/>
      <c r="CSF4" s="133"/>
      <c r="CSG4" s="133"/>
      <c r="CSH4" s="133"/>
      <c r="CSI4" s="133"/>
      <c r="CSJ4" s="133"/>
      <c r="CSK4" s="133"/>
      <c r="CSL4" s="133"/>
      <c r="CSM4" s="133"/>
      <c r="CSN4" s="133"/>
      <c r="CSO4" s="133"/>
      <c r="CSP4" s="133"/>
      <c r="CSQ4" s="133"/>
      <c r="CSR4" s="133"/>
      <c r="CSS4" s="133"/>
      <c r="CST4" s="133"/>
      <c r="CSU4" s="133"/>
      <c r="CSV4" s="133"/>
      <c r="CSW4" s="133"/>
      <c r="CSX4" s="133"/>
      <c r="CSY4" s="133"/>
      <c r="CSZ4" s="133"/>
      <c r="CTA4" s="133"/>
      <c r="CTB4" s="133"/>
      <c r="CTC4" s="133"/>
      <c r="CTD4" s="133"/>
      <c r="CTE4" s="133"/>
      <c r="CTF4" s="133"/>
      <c r="CTG4" s="133"/>
      <c r="CTH4" s="133"/>
      <c r="CTI4" s="133"/>
      <c r="CTJ4" s="133"/>
      <c r="CTK4" s="133"/>
      <c r="CTL4" s="133"/>
      <c r="CTM4" s="133"/>
      <c r="CTN4" s="133"/>
      <c r="CTO4" s="133"/>
      <c r="CTP4" s="133"/>
      <c r="CTQ4" s="133"/>
      <c r="CTR4" s="133"/>
      <c r="CTS4" s="133"/>
      <c r="CTT4" s="133"/>
      <c r="CTU4" s="133"/>
      <c r="CTV4" s="133"/>
      <c r="CTW4" s="133"/>
      <c r="CTX4" s="133"/>
      <c r="CTY4" s="133"/>
      <c r="CTZ4" s="133"/>
      <c r="CUA4" s="133"/>
      <c r="CUB4" s="133"/>
      <c r="CUC4" s="133"/>
      <c r="CUD4" s="133"/>
      <c r="CUE4" s="133"/>
      <c r="CUF4" s="133"/>
      <c r="CUG4" s="133"/>
      <c r="CUH4" s="133"/>
      <c r="CUI4" s="133"/>
      <c r="CUJ4" s="133"/>
      <c r="CUK4" s="133"/>
      <c r="CUL4" s="133"/>
      <c r="CUM4" s="133"/>
      <c r="CUN4" s="133"/>
      <c r="CUO4" s="133"/>
      <c r="CUP4" s="133"/>
      <c r="CUQ4" s="133"/>
      <c r="CUR4" s="133"/>
      <c r="CUS4" s="133"/>
      <c r="CUT4" s="133"/>
      <c r="CUU4" s="133"/>
      <c r="CUV4" s="133"/>
      <c r="CUW4" s="133"/>
      <c r="CUX4" s="133"/>
      <c r="CUY4" s="133"/>
      <c r="CUZ4" s="133"/>
      <c r="CVA4" s="133"/>
      <c r="CVB4" s="133"/>
      <c r="CVC4" s="133"/>
      <c r="CVD4" s="133"/>
      <c r="CVE4" s="133"/>
      <c r="CVF4" s="133"/>
      <c r="CVG4" s="133"/>
      <c r="CVH4" s="133"/>
      <c r="CVI4" s="133"/>
      <c r="CVJ4" s="133"/>
      <c r="CVK4" s="133"/>
      <c r="CVL4" s="133"/>
      <c r="CVM4" s="133"/>
      <c r="CVN4" s="133"/>
      <c r="CVO4" s="133"/>
      <c r="CVP4" s="133"/>
      <c r="CVQ4" s="133"/>
      <c r="CVR4" s="133"/>
      <c r="CVS4" s="133"/>
      <c r="CVT4" s="133"/>
      <c r="CVU4" s="133"/>
      <c r="CVV4" s="133"/>
      <c r="CVW4" s="133"/>
      <c r="CVX4" s="133"/>
      <c r="CVY4" s="133"/>
      <c r="CVZ4" s="133"/>
      <c r="CWA4" s="133"/>
      <c r="CWB4" s="133"/>
      <c r="CWC4" s="133"/>
      <c r="CWD4" s="133"/>
      <c r="CWE4" s="133"/>
      <c r="CWF4" s="133"/>
      <c r="CWG4" s="133"/>
      <c r="CWH4" s="133"/>
      <c r="CWI4" s="133"/>
      <c r="CWJ4" s="133"/>
      <c r="CWK4" s="133"/>
      <c r="CWL4" s="133"/>
      <c r="CWM4" s="133"/>
      <c r="CWN4" s="133"/>
      <c r="CWO4" s="133"/>
      <c r="CWP4" s="133"/>
      <c r="CWQ4" s="133"/>
      <c r="CWR4" s="133"/>
      <c r="CWS4" s="133"/>
      <c r="CWT4" s="133"/>
      <c r="CWU4" s="133"/>
      <c r="CWV4" s="133"/>
      <c r="CWW4" s="133"/>
      <c r="CWX4" s="133"/>
      <c r="CWY4" s="133"/>
      <c r="CWZ4" s="133"/>
      <c r="CXA4" s="133"/>
      <c r="CXB4" s="133"/>
      <c r="CXC4" s="133"/>
      <c r="CXD4" s="133"/>
      <c r="CXE4" s="133"/>
      <c r="CXF4" s="133"/>
      <c r="CXG4" s="133"/>
      <c r="CXH4" s="133"/>
      <c r="CXI4" s="133"/>
      <c r="CXJ4" s="133"/>
      <c r="CXK4" s="133"/>
      <c r="CXL4" s="133"/>
      <c r="CXM4" s="133"/>
      <c r="CXN4" s="133"/>
      <c r="CXO4" s="133"/>
      <c r="CXP4" s="133"/>
      <c r="CXQ4" s="133"/>
      <c r="CXR4" s="133"/>
      <c r="CXS4" s="133"/>
      <c r="CXT4" s="133"/>
      <c r="CXU4" s="133"/>
      <c r="CXV4" s="133"/>
      <c r="CXW4" s="133"/>
      <c r="CXX4" s="133"/>
      <c r="CXY4" s="133"/>
      <c r="CXZ4" s="133"/>
      <c r="CYA4" s="133"/>
      <c r="CYB4" s="133"/>
      <c r="CYC4" s="133"/>
      <c r="CYD4" s="133"/>
      <c r="CYE4" s="133"/>
      <c r="CYF4" s="133"/>
      <c r="CYG4" s="133"/>
      <c r="CYH4" s="133"/>
      <c r="CYI4" s="133"/>
      <c r="CYJ4" s="133"/>
      <c r="CYK4" s="133"/>
      <c r="CYL4" s="133"/>
      <c r="CYM4" s="133"/>
      <c r="CYN4" s="133"/>
      <c r="CYO4" s="133"/>
      <c r="CYP4" s="133"/>
      <c r="CYQ4" s="133"/>
      <c r="CYR4" s="133"/>
      <c r="CYS4" s="133"/>
      <c r="CYT4" s="133"/>
      <c r="CYU4" s="133"/>
      <c r="CYV4" s="133"/>
      <c r="CYW4" s="133"/>
      <c r="CYX4" s="133"/>
      <c r="CYY4" s="133"/>
      <c r="CYZ4" s="133"/>
      <c r="CZA4" s="133"/>
      <c r="CZB4" s="133"/>
      <c r="CZC4" s="133"/>
      <c r="CZD4" s="133"/>
      <c r="CZE4" s="133"/>
      <c r="CZF4" s="133"/>
      <c r="CZG4" s="133"/>
      <c r="CZH4" s="133"/>
      <c r="CZI4" s="133"/>
      <c r="CZJ4" s="133"/>
      <c r="CZK4" s="133"/>
      <c r="CZL4" s="133"/>
      <c r="CZM4" s="133"/>
      <c r="CZN4" s="133"/>
      <c r="CZO4" s="133"/>
      <c r="CZP4" s="133"/>
      <c r="CZQ4" s="133"/>
      <c r="CZR4" s="133"/>
      <c r="CZS4" s="133"/>
      <c r="CZT4" s="133"/>
      <c r="CZU4" s="133"/>
      <c r="CZV4" s="133"/>
      <c r="CZW4" s="133"/>
      <c r="CZX4" s="133"/>
      <c r="CZY4" s="133"/>
      <c r="CZZ4" s="133"/>
      <c r="DAA4" s="133"/>
      <c r="DAB4" s="133"/>
      <c r="DAC4" s="133"/>
      <c r="DAD4" s="133"/>
      <c r="DAE4" s="133"/>
      <c r="DAF4" s="133"/>
      <c r="DAG4" s="133"/>
      <c r="DAH4" s="133"/>
      <c r="DAI4" s="133"/>
      <c r="DAJ4" s="133"/>
      <c r="DAK4" s="133"/>
      <c r="DAL4" s="133"/>
      <c r="DAM4" s="133"/>
      <c r="DAN4" s="133"/>
      <c r="DAO4" s="133"/>
      <c r="DAP4" s="133"/>
      <c r="DAQ4" s="133"/>
      <c r="DAR4" s="133"/>
      <c r="DAS4" s="133"/>
      <c r="DAT4" s="133"/>
      <c r="DAU4" s="133"/>
      <c r="DAV4" s="133"/>
      <c r="DAW4" s="133"/>
      <c r="DAX4" s="133"/>
      <c r="DAY4" s="133"/>
      <c r="DAZ4" s="133"/>
      <c r="DBA4" s="133"/>
      <c r="DBB4" s="133"/>
      <c r="DBC4" s="133"/>
      <c r="DBD4" s="133"/>
      <c r="DBE4" s="133"/>
      <c r="DBF4" s="133"/>
      <c r="DBG4" s="133"/>
      <c r="DBH4" s="133"/>
      <c r="DBI4" s="133"/>
      <c r="DBJ4" s="133"/>
      <c r="DBK4" s="133"/>
      <c r="DBL4" s="133"/>
      <c r="DBM4" s="133"/>
      <c r="DBN4" s="133"/>
      <c r="DBO4" s="133"/>
      <c r="DBP4" s="133"/>
      <c r="DBQ4" s="133"/>
      <c r="DBR4" s="133"/>
      <c r="DBS4" s="133"/>
      <c r="DBT4" s="133"/>
      <c r="DBU4" s="133"/>
      <c r="DBV4" s="133"/>
      <c r="DBW4" s="133"/>
      <c r="DBX4" s="133"/>
      <c r="DBY4" s="133"/>
      <c r="DBZ4" s="133"/>
      <c r="DCA4" s="133"/>
      <c r="DCB4" s="133"/>
      <c r="DCC4" s="133"/>
      <c r="DCD4" s="133"/>
      <c r="DCE4" s="133"/>
      <c r="DCF4" s="133"/>
      <c r="DCG4" s="133"/>
      <c r="DCH4" s="133"/>
      <c r="DCI4" s="133"/>
      <c r="DCJ4" s="133"/>
      <c r="DCK4" s="133"/>
      <c r="DCL4" s="133"/>
      <c r="DCM4" s="133"/>
      <c r="DCN4" s="133"/>
      <c r="DCO4" s="133"/>
      <c r="DCP4" s="133"/>
      <c r="DCQ4" s="133"/>
      <c r="DCR4" s="133"/>
      <c r="DCS4" s="133"/>
      <c r="DCT4" s="133"/>
      <c r="DCU4" s="133"/>
      <c r="DCV4" s="133"/>
      <c r="DCW4" s="133"/>
      <c r="DCX4" s="133"/>
      <c r="DCY4" s="133"/>
      <c r="DCZ4" s="133"/>
      <c r="DDA4" s="133"/>
      <c r="DDB4" s="133"/>
      <c r="DDC4" s="133"/>
      <c r="DDD4" s="133"/>
      <c r="DDE4" s="133"/>
      <c r="DDF4" s="133"/>
      <c r="DDG4" s="133"/>
      <c r="DDH4" s="133"/>
      <c r="DDI4" s="133"/>
      <c r="DDJ4" s="133"/>
      <c r="DDK4" s="133"/>
      <c r="DDL4" s="133"/>
      <c r="DDM4" s="133"/>
      <c r="DDN4" s="133"/>
      <c r="DDO4" s="133"/>
      <c r="DDP4" s="133"/>
      <c r="DDQ4" s="133"/>
      <c r="DDR4" s="133"/>
      <c r="DDS4" s="133"/>
      <c r="DDT4" s="133"/>
      <c r="DDU4" s="133"/>
      <c r="DDV4" s="133"/>
      <c r="DDW4" s="133"/>
      <c r="DDX4" s="133"/>
      <c r="DDY4" s="133"/>
      <c r="DDZ4" s="133"/>
      <c r="DEA4" s="133"/>
      <c r="DEB4" s="133"/>
      <c r="DEC4" s="133"/>
    </row>
    <row r="5" spans="1:2837" s="104" customFormat="1" ht="34.5" customHeight="1" x14ac:dyDescent="0.15">
      <c r="A5" s="132" t="s">
        <v>48</v>
      </c>
      <c r="B5" s="131">
        <f>SUM(E5,H5,K5,N5,Q5,T5,W5,Z5,AC5,AF5,AI5,AL5,AO5,AR5,AU5,AX5,BA5,BD5,BG5,BJ5,BM5,BP5,BS5,BV5,BY5,CB5,CE5,CH5,CK5,CN5,CQ5,CT5,CW5,CZ5,DC5,DF5,DI5,DL5,DO5,DR5,DU5,DX5,EA5,ED5,EG5,EJ5,EM5,EP5,ES5,EV5,EY5,FB5,FE5,FH5,FK5,FN5,FQ5,FT5,FW5,FZ5,GC5,GF5,GI5,GL5,GO5,GR5,GU5,GX5,HA5,HD5,HG5,HJ5,HM5,HP5,HS5,HV5,HY5,IB5,IE5,IH5,IK5,IN5,IQ5,IT5,IW5,IZ5,JC5,JF5,JI5,JL5,JO5,JR5,JU5,JX5,KA5,KD5,KG5,KJ5,KM5,KP5,KS5,KV5,KY5,LB5,LE5,LH5,LK5,LN5,LQ5,LT5,LW5,LZ5,MC5,MF5,MI5,ML5,MO5,MR5,MU5,MX5,NA5,ND5,NG5,NJ5,NM5,NP5,NS5,NV5,NY5,OB5,OE5,OH5,OK5,ON5,OQ5,OT5,OW5,OZ5,PC5,PF5,PI5,PL5,PO5,PR5,PU5,PX5,QA5,QD5,QG5,QJ5,QM5,QP5,QS5,QV5,QY5,RB5,RE5,RH5,RK5,RN5,RQ5,RT5,RW5,RZ5,SC5,SF5,SI5,SL5,SO5,SR5,SU5,SX5,TA5,TD5,TG5,TJ5,TM5,TP5,TS5,TV5,TY5,UB5,UE5,UH5,UK5,UN5,UQ5,UT5,UW5,UZ5,VC5,VF5,VI5,VL5,VO5,VR5,VU5,VX5,WA5)</f>
        <v>7319</v>
      </c>
      <c r="C5" s="130">
        <f>SUM(F5,I5,L5,O5,R5,U5,X5,AA5,AD5,AG5,AJ5,AM5,AP5,AS5,AV5,AY5,BB5,BE5,BH5,BK5,BN5,BQ5,BT5,BW5,BZ5,CC5,CF5,CI5,CL5,CO5,CR5,CU5,CX5,DA5,DD5,DG5,DJ5,DM5,DP5,DS5,DV5,DY5,EB5,EE5,EH5,EK5,EN5,EQ5,ET5,EW5,EZ5,FC5,FF5,FI5,FL5,FO5,FR5,FU5,FX5,GA5,GD5,GG5,GJ5,GM5,GP5,GS5,GV5,GY5,HB5,HE5,HH5,HK5,HN5,HQ5,HT5,HW5,HZ5,IC5,IF5,II5,IL5,IO5,IR5,IU5,IX5,JA5,JD5,JG5,JJ5,JM5,JP5,JS5,JV5,JY5,KB5,KE5,KH5,KK5,KN5,KQ5,KT5,KW5,KZ5,LC5,LF5,LI5,LL5,LO5,LR5,LU5,LX5,MA5,MD5,MG5,MJ5,MM5,MP5,MS5,MV5,MY5,NB5,NE5,NH5,NK5,NN5,NQ5,NT5,NW5,NZ5,OC5,OF5,OI5,OL5,OO5,OR5,OU5,OX5,PA5,PD5,PG5,PJ5,PM5,PP5,PS5,PV5,PY5,QB5,QE5,QH5,QK5,QN5,QQ5,QT5,QW5,QZ5,RC5,RF5,RI5,RL5,RO5,RR5,RU5,RX5,SA5,SD5,SG5,SJ5,SM5,SP5,SS5,SV5,SY5,TB5,TE5,TH5,TK5,TN5,TQ5,TT5,TW5,TZ5,UC5,UF5,UI5,UL5,UO5,UR5,UU5,UX5,VA5,VD5,VG5,VJ5,VM5,VP5,VS5,VV5,VY5,WB5)</f>
        <v>3600</v>
      </c>
      <c r="D5" s="130">
        <f>SUM(G5,J5,M5,P5,S5,V5,Y5,AB5,AE5,AH5,AK5,AN5,AQ5,AT5,AW5,AZ5,BC5,BF5,BI5,BL5,BO5,BR5,BU5,BX5,CA5,CD5,CG5,CJ5,CM5,CP5,CS5,CV5,CY5,DB5,DE5,DH5,DK5,DN5,DQ5,DT5,DW5,DZ5,EC5,EF5,EI5,EL5,EO5,ER5,EU5,EX5,FA5,FD5,FG5,FJ5,FM5,FP5,FS5,FV5,FY5,GB5,GE5,GH5,GK5,GN5,GQ5,GT5,GW5,GZ5,HC5,HF5,HI5,HL5,HO5,HR5,HU5,HX5,IA5,ID5,IG5,IJ5,IM5,IP5,IS5,IV5,IY5,JB5,JE5,JH5,JK5,JN5,JQ5,JT5,JW5,JZ5,KC5,KF5,KI5,KL5,KO5,KR5,KU5,KX5,LA5,LD5,LG5,LJ5,LM5,LP5,LS5,LV5,LY5,MB5,ME5,MH5,MK5,MN5,MQ5,MT5,MW5,MZ5,NC5,NF5,NI5,NL5,NO5,NR5,NU5,NX5,OA5,OD5,OG5,OJ5,OM5,OP5,OS5,OV5,OY5,PB5,PE5,PH5,PK5,PN5,PQ5,PT5,PW5,PZ5,QC5,QF5,QI5,QL5,QO5,QR5,QU5,QX5,RA5,RD5,RG5,RJ5,RM5,RP5,RS5,RV5,RY5,SB5,SE5,SH5,SK5,SN5,SQ5,ST5,SW5,SZ5,TC5,TF5,TI5,TL5,TO5,TR5,TU5,TX5,UA5,UD5,UG5,UJ5,UM5,UP5,US5,UV5,UY5,VB5,VE5,VH5,VK5,VN5,VQ5,VT5,VW5,VZ5,WC5)</f>
        <v>3719</v>
      </c>
      <c r="E5" s="127">
        <v>1135</v>
      </c>
      <c r="F5" s="126">
        <v>500</v>
      </c>
      <c r="G5" s="126">
        <v>635</v>
      </c>
      <c r="H5" s="127">
        <v>2775</v>
      </c>
      <c r="I5" s="126">
        <v>1536</v>
      </c>
      <c r="J5" s="126">
        <v>1239</v>
      </c>
      <c r="K5" s="127">
        <v>1214</v>
      </c>
      <c r="L5" s="126">
        <v>451</v>
      </c>
      <c r="M5" s="126">
        <v>763</v>
      </c>
      <c r="N5" s="127">
        <v>39</v>
      </c>
      <c r="O5" s="126">
        <v>27</v>
      </c>
      <c r="P5" s="126">
        <v>12</v>
      </c>
      <c r="Q5" s="127">
        <v>152</v>
      </c>
      <c r="R5" s="126">
        <v>117</v>
      </c>
      <c r="S5" s="126">
        <v>35</v>
      </c>
      <c r="T5" s="127">
        <v>70</v>
      </c>
      <c r="U5" s="126">
        <v>51</v>
      </c>
      <c r="V5" s="126">
        <v>19</v>
      </c>
      <c r="W5" s="127">
        <v>58</v>
      </c>
      <c r="X5" s="126">
        <v>39</v>
      </c>
      <c r="Y5" s="126">
        <v>19</v>
      </c>
      <c r="Z5" s="127">
        <v>321</v>
      </c>
      <c r="AA5" s="126">
        <v>171</v>
      </c>
      <c r="AB5" s="126">
        <v>150</v>
      </c>
      <c r="AC5" s="127">
        <v>123</v>
      </c>
      <c r="AD5" s="126">
        <v>40</v>
      </c>
      <c r="AE5" s="126">
        <v>83</v>
      </c>
      <c r="AF5" s="127">
        <v>180</v>
      </c>
      <c r="AG5" s="126">
        <v>112</v>
      </c>
      <c r="AH5" s="126">
        <v>68</v>
      </c>
      <c r="AI5" s="127">
        <v>105</v>
      </c>
      <c r="AJ5" s="126">
        <v>44</v>
      </c>
      <c r="AK5" s="126">
        <v>61</v>
      </c>
      <c r="AL5" s="127">
        <v>187</v>
      </c>
      <c r="AM5" s="126">
        <v>84</v>
      </c>
      <c r="AN5" s="126">
        <v>103</v>
      </c>
      <c r="AO5" s="127">
        <v>36</v>
      </c>
      <c r="AP5" s="126">
        <v>32</v>
      </c>
      <c r="AQ5" s="126">
        <v>4</v>
      </c>
      <c r="AR5" s="127">
        <v>208</v>
      </c>
      <c r="AS5" s="126">
        <v>36</v>
      </c>
      <c r="AT5" s="126">
        <v>172</v>
      </c>
      <c r="AU5" s="127">
        <v>61</v>
      </c>
      <c r="AV5" s="126">
        <v>58</v>
      </c>
      <c r="AW5" s="126">
        <v>3</v>
      </c>
      <c r="AX5" s="127">
        <v>62</v>
      </c>
      <c r="AY5" s="126">
        <v>17</v>
      </c>
      <c r="AZ5" s="126">
        <v>45</v>
      </c>
      <c r="BA5" s="127">
        <v>10</v>
      </c>
      <c r="BB5" s="126">
        <v>1</v>
      </c>
      <c r="BC5" s="126">
        <v>9</v>
      </c>
      <c r="BD5" s="127">
        <v>75</v>
      </c>
      <c r="BE5" s="126">
        <v>25</v>
      </c>
      <c r="BF5" s="126">
        <v>50</v>
      </c>
      <c r="BG5" s="127">
        <v>27</v>
      </c>
      <c r="BH5" s="126">
        <v>18</v>
      </c>
      <c r="BI5" s="126">
        <v>9</v>
      </c>
      <c r="BJ5" s="127">
        <v>38</v>
      </c>
      <c r="BK5" s="126">
        <v>25</v>
      </c>
      <c r="BL5" s="126">
        <v>13</v>
      </c>
      <c r="BM5" s="127">
        <v>4</v>
      </c>
      <c r="BN5" s="126">
        <v>0</v>
      </c>
      <c r="BO5" s="126">
        <v>4</v>
      </c>
      <c r="BP5" s="127">
        <v>16</v>
      </c>
      <c r="BQ5" s="126">
        <v>7</v>
      </c>
      <c r="BR5" s="126">
        <v>9</v>
      </c>
      <c r="BS5" s="127">
        <v>18</v>
      </c>
      <c r="BT5" s="126">
        <v>13</v>
      </c>
      <c r="BU5" s="126">
        <v>5</v>
      </c>
      <c r="BV5" s="127">
        <v>33</v>
      </c>
      <c r="BW5" s="126">
        <v>18</v>
      </c>
      <c r="BX5" s="126">
        <v>15</v>
      </c>
      <c r="BY5" s="127">
        <v>25</v>
      </c>
      <c r="BZ5" s="126">
        <v>21</v>
      </c>
      <c r="CA5" s="126">
        <v>4</v>
      </c>
      <c r="CB5" s="127">
        <v>57</v>
      </c>
      <c r="CC5" s="126">
        <v>18</v>
      </c>
      <c r="CD5" s="126">
        <v>39</v>
      </c>
      <c r="CE5" s="127">
        <v>49</v>
      </c>
      <c r="CF5" s="126">
        <v>23</v>
      </c>
      <c r="CG5" s="126">
        <v>26</v>
      </c>
      <c r="CH5" s="127">
        <v>0</v>
      </c>
      <c r="CI5" s="126">
        <v>0</v>
      </c>
      <c r="CJ5" s="126">
        <v>0</v>
      </c>
      <c r="CK5" s="127">
        <v>10</v>
      </c>
      <c r="CL5" s="126">
        <v>3</v>
      </c>
      <c r="CM5" s="126">
        <v>7</v>
      </c>
      <c r="CN5" s="127">
        <v>10</v>
      </c>
      <c r="CO5" s="126">
        <v>4</v>
      </c>
      <c r="CP5" s="126">
        <v>6</v>
      </c>
      <c r="CQ5" s="127">
        <v>5</v>
      </c>
      <c r="CR5" s="126">
        <v>2</v>
      </c>
      <c r="CS5" s="126">
        <v>3</v>
      </c>
      <c r="CT5" s="127">
        <v>5</v>
      </c>
      <c r="CU5" s="126">
        <v>0</v>
      </c>
      <c r="CV5" s="126">
        <v>5</v>
      </c>
      <c r="CW5" s="127">
        <v>2</v>
      </c>
      <c r="CX5" s="126">
        <v>2</v>
      </c>
      <c r="CY5" s="126">
        <v>0</v>
      </c>
      <c r="CZ5" s="127">
        <v>2</v>
      </c>
      <c r="DA5" s="126">
        <v>1</v>
      </c>
      <c r="DB5" s="126">
        <v>1</v>
      </c>
      <c r="DC5" s="129">
        <v>11</v>
      </c>
      <c r="DD5" s="128">
        <v>2</v>
      </c>
      <c r="DE5" s="128">
        <v>9</v>
      </c>
      <c r="DF5" s="129">
        <v>23</v>
      </c>
      <c r="DG5" s="128">
        <v>17</v>
      </c>
      <c r="DH5" s="128">
        <v>6</v>
      </c>
      <c r="DI5" s="129">
        <v>0</v>
      </c>
      <c r="DJ5" s="128">
        <v>0</v>
      </c>
      <c r="DK5" s="128">
        <v>0</v>
      </c>
      <c r="DL5" s="129">
        <v>6</v>
      </c>
      <c r="DM5" s="128">
        <v>2</v>
      </c>
      <c r="DN5" s="128">
        <v>4</v>
      </c>
      <c r="DO5" s="129">
        <v>0</v>
      </c>
      <c r="DP5" s="128">
        <v>0</v>
      </c>
      <c r="DQ5" s="128">
        <v>0</v>
      </c>
      <c r="DR5" s="129">
        <v>28</v>
      </c>
      <c r="DS5" s="128">
        <v>11</v>
      </c>
      <c r="DT5" s="128">
        <v>17</v>
      </c>
      <c r="DU5" s="129">
        <v>1</v>
      </c>
      <c r="DV5" s="128">
        <v>1</v>
      </c>
      <c r="DW5" s="128">
        <v>0</v>
      </c>
      <c r="DX5" s="129">
        <v>4</v>
      </c>
      <c r="DY5" s="128">
        <v>2</v>
      </c>
      <c r="DZ5" s="128">
        <v>2</v>
      </c>
      <c r="EA5" s="129">
        <v>7</v>
      </c>
      <c r="EB5" s="128">
        <v>4</v>
      </c>
      <c r="EC5" s="128">
        <v>3</v>
      </c>
      <c r="ED5" s="129">
        <v>0</v>
      </c>
      <c r="EE5" s="128">
        <v>0</v>
      </c>
      <c r="EF5" s="128">
        <v>0</v>
      </c>
      <c r="EG5" s="129">
        <v>0</v>
      </c>
      <c r="EH5" s="128">
        <v>0</v>
      </c>
      <c r="EI5" s="128">
        <v>0</v>
      </c>
      <c r="EJ5" s="129">
        <v>6</v>
      </c>
      <c r="EK5" s="128">
        <v>3</v>
      </c>
      <c r="EL5" s="128">
        <v>3</v>
      </c>
      <c r="EM5" s="129">
        <v>2</v>
      </c>
      <c r="EN5" s="128">
        <v>0</v>
      </c>
      <c r="EO5" s="128">
        <v>2</v>
      </c>
      <c r="EP5" s="129">
        <v>5</v>
      </c>
      <c r="EQ5" s="128">
        <v>2</v>
      </c>
      <c r="ER5" s="128">
        <v>3</v>
      </c>
      <c r="ES5" s="127">
        <v>7</v>
      </c>
      <c r="ET5" s="126">
        <v>2</v>
      </c>
      <c r="EU5" s="126">
        <v>5</v>
      </c>
      <c r="EV5" s="127">
        <v>0</v>
      </c>
      <c r="EW5" s="126">
        <v>0</v>
      </c>
      <c r="EX5" s="126">
        <v>0</v>
      </c>
      <c r="EY5" s="127">
        <v>1</v>
      </c>
      <c r="EZ5" s="126">
        <v>1</v>
      </c>
      <c r="FA5" s="126">
        <v>0</v>
      </c>
      <c r="FB5" s="127">
        <v>1</v>
      </c>
      <c r="FC5" s="126">
        <v>1</v>
      </c>
      <c r="FD5" s="126">
        <v>0</v>
      </c>
      <c r="FE5" s="127">
        <v>4</v>
      </c>
      <c r="FF5" s="126">
        <v>3</v>
      </c>
      <c r="FG5" s="126">
        <v>1</v>
      </c>
      <c r="FH5" s="127">
        <v>11</v>
      </c>
      <c r="FI5" s="126">
        <v>5</v>
      </c>
      <c r="FJ5" s="126">
        <v>6</v>
      </c>
      <c r="FK5" s="127">
        <v>1</v>
      </c>
      <c r="FL5" s="126">
        <v>1</v>
      </c>
      <c r="FM5" s="126">
        <v>0</v>
      </c>
      <c r="FN5" s="127">
        <v>7</v>
      </c>
      <c r="FO5" s="126">
        <v>2</v>
      </c>
      <c r="FP5" s="126">
        <v>5</v>
      </c>
      <c r="FQ5" s="127">
        <v>2</v>
      </c>
      <c r="FR5" s="126">
        <v>1</v>
      </c>
      <c r="FS5" s="126">
        <v>1</v>
      </c>
      <c r="FT5" s="127">
        <v>0</v>
      </c>
      <c r="FU5" s="126">
        <v>0</v>
      </c>
      <c r="FV5" s="126">
        <v>0</v>
      </c>
      <c r="FW5" s="127">
        <v>7</v>
      </c>
      <c r="FX5" s="126">
        <v>7</v>
      </c>
      <c r="FY5" s="126">
        <v>0</v>
      </c>
      <c r="FZ5" s="127">
        <v>2</v>
      </c>
      <c r="GA5" s="126">
        <v>1</v>
      </c>
      <c r="GB5" s="126">
        <v>1</v>
      </c>
      <c r="GC5" s="127">
        <v>0</v>
      </c>
      <c r="GD5" s="126">
        <v>0</v>
      </c>
      <c r="GE5" s="126">
        <v>0</v>
      </c>
      <c r="GF5" s="127">
        <v>0</v>
      </c>
      <c r="GG5" s="126">
        <v>0</v>
      </c>
      <c r="GH5" s="126">
        <v>0</v>
      </c>
      <c r="GI5" s="127">
        <v>3</v>
      </c>
      <c r="GJ5" s="126">
        <v>2</v>
      </c>
      <c r="GK5" s="126">
        <v>1</v>
      </c>
      <c r="GL5" s="127">
        <v>0</v>
      </c>
      <c r="GM5" s="126">
        <v>0</v>
      </c>
      <c r="GN5" s="126">
        <v>0</v>
      </c>
      <c r="GO5" s="127">
        <v>0</v>
      </c>
      <c r="GP5" s="126">
        <v>0</v>
      </c>
      <c r="GQ5" s="126">
        <v>0</v>
      </c>
      <c r="GR5" s="127">
        <v>0</v>
      </c>
      <c r="GS5" s="126">
        <v>0</v>
      </c>
      <c r="GT5" s="126">
        <v>0</v>
      </c>
      <c r="GU5" s="127">
        <v>0</v>
      </c>
      <c r="GV5" s="126">
        <v>0</v>
      </c>
      <c r="GW5" s="126">
        <v>0</v>
      </c>
      <c r="GX5" s="127">
        <v>5</v>
      </c>
      <c r="GY5" s="126">
        <v>2</v>
      </c>
      <c r="GZ5" s="126">
        <v>3</v>
      </c>
      <c r="HA5" s="127">
        <v>2</v>
      </c>
      <c r="HB5" s="126">
        <v>0</v>
      </c>
      <c r="HC5" s="126">
        <v>2</v>
      </c>
      <c r="HD5" s="127">
        <v>0</v>
      </c>
      <c r="HE5" s="126">
        <v>0</v>
      </c>
      <c r="HF5" s="126">
        <v>0</v>
      </c>
      <c r="HG5" s="127">
        <v>2</v>
      </c>
      <c r="HH5" s="126">
        <v>1</v>
      </c>
      <c r="HI5" s="126">
        <v>1</v>
      </c>
      <c r="HJ5" s="127">
        <v>0</v>
      </c>
      <c r="HK5" s="126">
        <v>0</v>
      </c>
      <c r="HL5" s="126">
        <v>0</v>
      </c>
      <c r="HM5" s="127">
        <v>2</v>
      </c>
      <c r="HN5" s="126">
        <v>1</v>
      </c>
      <c r="HO5" s="126">
        <v>1</v>
      </c>
      <c r="HP5" s="127">
        <v>0</v>
      </c>
      <c r="HQ5" s="126">
        <v>0</v>
      </c>
      <c r="HR5" s="126">
        <v>0</v>
      </c>
      <c r="HS5" s="127">
        <v>3</v>
      </c>
      <c r="HT5" s="126">
        <v>0</v>
      </c>
      <c r="HU5" s="126">
        <v>3</v>
      </c>
      <c r="HV5" s="127">
        <v>0</v>
      </c>
      <c r="HW5" s="126">
        <v>0</v>
      </c>
      <c r="HX5" s="126">
        <v>0</v>
      </c>
      <c r="HY5" s="127">
        <v>0</v>
      </c>
      <c r="HZ5" s="126">
        <v>0</v>
      </c>
      <c r="IA5" s="126">
        <v>0</v>
      </c>
      <c r="IB5" s="127">
        <v>2</v>
      </c>
      <c r="IC5" s="126">
        <v>2</v>
      </c>
      <c r="ID5" s="126">
        <v>0</v>
      </c>
      <c r="IE5" s="127">
        <v>1</v>
      </c>
      <c r="IF5" s="126">
        <v>0</v>
      </c>
      <c r="IG5" s="126">
        <v>1</v>
      </c>
      <c r="IH5" s="127">
        <v>0</v>
      </c>
      <c r="II5" s="126">
        <v>0</v>
      </c>
      <c r="IJ5" s="126">
        <v>0</v>
      </c>
      <c r="IK5" s="127">
        <v>5</v>
      </c>
      <c r="IL5" s="126">
        <v>5</v>
      </c>
      <c r="IM5" s="126">
        <v>0</v>
      </c>
      <c r="IN5" s="127">
        <v>3</v>
      </c>
      <c r="IO5" s="126">
        <v>1</v>
      </c>
      <c r="IP5" s="126">
        <v>2</v>
      </c>
      <c r="IQ5" s="127">
        <v>2</v>
      </c>
      <c r="IR5" s="126">
        <v>1</v>
      </c>
      <c r="IS5" s="126">
        <v>1</v>
      </c>
      <c r="IT5" s="127">
        <v>2</v>
      </c>
      <c r="IU5" s="126">
        <v>1</v>
      </c>
      <c r="IV5" s="126">
        <v>1</v>
      </c>
      <c r="IW5" s="127">
        <v>0</v>
      </c>
      <c r="IX5" s="126">
        <v>0</v>
      </c>
      <c r="IY5" s="126">
        <v>0</v>
      </c>
      <c r="IZ5" s="127">
        <v>1</v>
      </c>
      <c r="JA5" s="126">
        <v>0</v>
      </c>
      <c r="JB5" s="126">
        <v>1</v>
      </c>
      <c r="JC5" s="127">
        <v>0</v>
      </c>
      <c r="JD5" s="126">
        <v>0</v>
      </c>
      <c r="JE5" s="126">
        <v>0</v>
      </c>
      <c r="JF5" s="127">
        <v>1</v>
      </c>
      <c r="JG5" s="126">
        <v>0</v>
      </c>
      <c r="JH5" s="126">
        <v>1</v>
      </c>
      <c r="JI5" s="127">
        <v>6</v>
      </c>
      <c r="JJ5" s="126">
        <v>5</v>
      </c>
      <c r="JK5" s="126">
        <v>1</v>
      </c>
      <c r="JL5" s="127">
        <v>1</v>
      </c>
      <c r="JM5" s="126">
        <v>0</v>
      </c>
      <c r="JN5" s="126">
        <v>1</v>
      </c>
      <c r="JO5" s="127">
        <v>2</v>
      </c>
      <c r="JP5" s="126">
        <v>0</v>
      </c>
      <c r="JQ5" s="126">
        <v>2</v>
      </c>
      <c r="JR5" s="127">
        <v>0</v>
      </c>
      <c r="JS5" s="126">
        <v>0</v>
      </c>
      <c r="JT5" s="126">
        <v>0</v>
      </c>
      <c r="JU5" s="127">
        <v>0</v>
      </c>
      <c r="JV5" s="126">
        <v>0</v>
      </c>
      <c r="JW5" s="126">
        <v>0</v>
      </c>
      <c r="JX5" s="127">
        <v>0</v>
      </c>
      <c r="JY5" s="126">
        <v>0</v>
      </c>
      <c r="JZ5" s="126">
        <v>0</v>
      </c>
      <c r="KA5" s="127">
        <v>0</v>
      </c>
      <c r="KB5" s="126">
        <v>0</v>
      </c>
      <c r="KC5" s="126">
        <v>0</v>
      </c>
      <c r="KD5" s="127">
        <v>2</v>
      </c>
      <c r="KE5" s="126">
        <v>1</v>
      </c>
      <c r="KF5" s="126">
        <v>1</v>
      </c>
      <c r="KG5" s="127">
        <v>0</v>
      </c>
      <c r="KH5" s="127">
        <v>0</v>
      </c>
      <c r="KI5" s="127">
        <v>0</v>
      </c>
      <c r="KJ5" s="127">
        <v>0</v>
      </c>
      <c r="KK5" s="127">
        <v>0</v>
      </c>
      <c r="KL5" s="127">
        <v>0</v>
      </c>
      <c r="KM5" s="127">
        <v>1</v>
      </c>
      <c r="KN5" s="126">
        <v>0</v>
      </c>
      <c r="KO5" s="126">
        <v>1</v>
      </c>
      <c r="KP5" s="127">
        <v>1</v>
      </c>
      <c r="KQ5" s="126">
        <v>1</v>
      </c>
      <c r="KR5" s="126">
        <v>0</v>
      </c>
      <c r="KS5" s="127">
        <v>0</v>
      </c>
      <c r="KT5" s="126">
        <v>0</v>
      </c>
      <c r="KU5" s="126">
        <v>0</v>
      </c>
      <c r="KV5" s="127">
        <v>0</v>
      </c>
      <c r="KW5" s="126">
        <v>0</v>
      </c>
      <c r="KX5" s="126">
        <v>0</v>
      </c>
      <c r="KY5" s="127">
        <v>0</v>
      </c>
      <c r="KZ5" s="126">
        <v>0</v>
      </c>
      <c r="LA5" s="126">
        <v>0</v>
      </c>
      <c r="LB5" s="127">
        <v>0</v>
      </c>
      <c r="LC5" s="126">
        <v>0</v>
      </c>
      <c r="LD5" s="126">
        <v>0</v>
      </c>
      <c r="LE5" s="127">
        <v>0</v>
      </c>
      <c r="LF5" s="126">
        <v>0</v>
      </c>
      <c r="LG5" s="126">
        <v>0</v>
      </c>
      <c r="LH5" s="127">
        <v>0</v>
      </c>
      <c r="LI5" s="126">
        <v>0</v>
      </c>
      <c r="LJ5" s="126">
        <v>0</v>
      </c>
      <c r="LK5" s="127">
        <v>1</v>
      </c>
      <c r="LL5" s="126">
        <v>0</v>
      </c>
      <c r="LM5" s="126">
        <v>1</v>
      </c>
      <c r="LN5" s="127">
        <v>0</v>
      </c>
      <c r="LO5" s="126">
        <v>0</v>
      </c>
      <c r="LP5" s="126">
        <v>0</v>
      </c>
      <c r="LQ5" s="127">
        <v>0</v>
      </c>
      <c r="LR5" s="126">
        <v>0</v>
      </c>
      <c r="LS5" s="126">
        <v>0</v>
      </c>
      <c r="LT5" s="127">
        <v>0</v>
      </c>
      <c r="LU5" s="126">
        <v>0</v>
      </c>
      <c r="LV5" s="126">
        <v>0</v>
      </c>
      <c r="LW5" s="127">
        <v>1</v>
      </c>
      <c r="LX5" s="126">
        <v>1</v>
      </c>
      <c r="LY5" s="126">
        <v>0</v>
      </c>
      <c r="LZ5" s="127">
        <v>2</v>
      </c>
      <c r="MA5" s="126">
        <v>2</v>
      </c>
      <c r="MB5" s="126">
        <v>0</v>
      </c>
      <c r="MC5" s="127">
        <v>2</v>
      </c>
      <c r="MD5" s="126">
        <v>1</v>
      </c>
      <c r="ME5" s="126">
        <v>1</v>
      </c>
      <c r="MF5" s="127">
        <v>0</v>
      </c>
      <c r="MG5" s="126">
        <v>0</v>
      </c>
      <c r="MH5" s="126">
        <v>0</v>
      </c>
      <c r="MI5" s="127">
        <v>0</v>
      </c>
      <c r="MJ5" s="126">
        <v>0</v>
      </c>
      <c r="MK5" s="126">
        <v>0</v>
      </c>
      <c r="ML5" s="127">
        <v>1</v>
      </c>
      <c r="MM5" s="126">
        <v>0</v>
      </c>
      <c r="MN5" s="126">
        <v>1</v>
      </c>
      <c r="MO5" s="127">
        <v>0</v>
      </c>
      <c r="MP5" s="126">
        <v>0</v>
      </c>
      <c r="MQ5" s="126">
        <v>0</v>
      </c>
      <c r="MR5" s="127">
        <v>1</v>
      </c>
      <c r="MS5" s="126">
        <v>0</v>
      </c>
      <c r="MT5" s="126">
        <v>1</v>
      </c>
      <c r="MU5" s="127">
        <v>0</v>
      </c>
      <c r="MV5" s="126">
        <v>0</v>
      </c>
      <c r="MW5" s="126">
        <v>0</v>
      </c>
      <c r="MX5" s="127">
        <v>0</v>
      </c>
      <c r="MY5" s="126">
        <v>0</v>
      </c>
      <c r="MZ5" s="126">
        <v>0</v>
      </c>
      <c r="NA5" s="127">
        <v>0</v>
      </c>
      <c r="NB5" s="126">
        <v>0</v>
      </c>
      <c r="NC5" s="126">
        <v>0</v>
      </c>
      <c r="ND5" s="127">
        <v>1</v>
      </c>
      <c r="NE5" s="126">
        <v>1</v>
      </c>
      <c r="NF5" s="126">
        <v>0</v>
      </c>
      <c r="NG5" s="127">
        <v>1</v>
      </c>
      <c r="NH5" s="126">
        <v>0</v>
      </c>
      <c r="NI5" s="126">
        <v>1</v>
      </c>
      <c r="NJ5" s="127">
        <v>0</v>
      </c>
      <c r="NK5" s="126">
        <v>0</v>
      </c>
      <c r="NL5" s="126">
        <v>0</v>
      </c>
      <c r="NM5" s="127">
        <v>0</v>
      </c>
      <c r="NN5" s="126">
        <v>0</v>
      </c>
      <c r="NO5" s="126">
        <v>0</v>
      </c>
      <c r="NP5" s="127">
        <v>0</v>
      </c>
      <c r="NQ5" s="126">
        <v>0</v>
      </c>
      <c r="NR5" s="126">
        <v>0</v>
      </c>
      <c r="NS5" s="127">
        <v>0</v>
      </c>
      <c r="NT5" s="126">
        <v>0</v>
      </c>
      <c r="NU5" s="126">
        <v>0</v>
      </c>
      <c r="NV5" s="127">
        <v>1</v>
      </c>
      <c r="NW5" s="126">
        <v>1</v>
      </c>
      <c r="NX5" s="126">
        <v>0</v>
      </c>
      <c r="NY5" s="127">
        <v>0</v>
      </c>
      <c r="NZ5" s="126">
        <v>0</v>
      </c>
      <c r="OA5" s="126">
        <v>0</v>
      </c>
      <c r="OB5" s="127">
        <v>1</v>
      </c>
      <c r="OC5" s="126">
        <v>0</v>
      </c>
      <c r="OD5" s="126">
        <v>1</v>
      </c>
      <c r="OE5" s="127">
        <v>0</v>
      </c>
      <c r="OF5" s="126">
        <v>0</v>
      </c>
      <c r="OG5" s="126">
        <v>0</v>
      </c>
      <c r="OH5" s="127">
        <v>0</v>
      </c>
      <c r="OI5" s="126">
        <v>0</v>
      </c>
      <c r="OJ5" s="126">
        <v>0</v>
      </c>
      <c r="OK5" s="127">
        <v>0</v>
      </c>
      <c r="OL5" s="126">
        <v>0</v>
      </c>
      <c r="OM5" s="126">
        <v>0</v>
      </c>
      <c r="ON5" s="127">
        <v>0</v>
      </c>
      <c r="OO5" s="126">
        <v>0</v>
      </c>
      <c r="OP5" s="126">
        <v>0</v>
      </c>
      <c r="OQ5" s="127">
        <v>1</v>
      </c>
      <c r="OR5" s="126">
        <v>1</v>
      </c>
      <c r="OS5" s="126">
        <v>0</v>
      </c>
      <c r="OT5" s="127">
        <v>0</v>
      </c>
      <c r="OU5" s="126">
        <v>0</v>
      </c>
      <c r="OV5" s="126">
        <v>0</v>
      </c>
      <c r="OW5" s="127">
        <v>0</v>
      </c>
      <c r="OX5" s="126">
        <v>0</v>
      </c>
      <c r="OY5" s="126">
        <v>0</v>
      </c>
      <c r="OZ5" s="127">
        <v>0</v>
      </c>
      <c r="PA5" s="126">
        <v>0</v>
      </c>
      <c r="PB5" s="126">
        <v>0</v>
      </c>
      <c r="PC5" s="127">
        <v>3</v>
      </c>
      <c r="PD5" s="126">
        <v>1</v>
      </c>
      <c r="PE5" s="126">
        <v>2</v>
      </c>
      <c r="PF5" s="127">
        <v>1</v>
      </c>
      <c r="PG5" s="126">
        <v>1</v>
      </c>
      <c r="PH5" s="126">
        <v>0</v>
      </c>
      <c r="PI5" s="127">
        <v>0</v>
      </c>
      <c r="PJ5" s="126">
        <v>0</v>
      </c>
      <c r="PK5" s="126">
        <v>0</v>
      </c>
      <c r="PL5" s="127">
        <v>0</v>
      </c>
      <c r="PM5" s="126">
        <v>0</v>
      </c>
      <c r="PN5" s="126">
        <v>0</v>
      </c>
      <c r="PO5" s="127">
        <v>0</v>
      </c>
      <c r="PP5" s="126">
        <v>0</v>
      </c>
      <c r="PQ5" s="126">
        <v>0</v>
      </c>
      <c r="PR5" s="127">
        <v>0</v>
      </c>
      <c r="PS5" s="126">
        <v>0</v>
      </c>
      <c r="PT5" s="126">
        <v>0</v>
      </c>
      <c r="PU5" s="127">
        <v>3</v>
      </c>
      <c r="PV5" s="126">
        <v>3</v>
      </c>
      <c r="PW5" s="126">
        <v>0</v>
      </c>
      <c r="PX5" s="127">
        <v>0</v>
      </c>
      <c r="PY5" s="126">
        <v>0</v>
      </c>
      <c r="PZ5" s="126">
        <v>0</v>
      </c>
      <c r="QA5" s="127">
        <v>0</v>
      </c>
      <c r="QB5" s="126">
        <v>0</v>
      </c>
      <c r="QC5" s="126">
        <v>0</v>
      </c>
      <c r="QD5" s="127">
        <v>0</v>
      </c>
      <c r="QE5" s="126">
        <v>0</v>
      </c>
      <c r="QF5" s="126">
        <v>0</v>
      </c>
      <c r="QG5" s="127">
        <v>0</v>
      </c>
      <c r="QH5" s="126">
        <v>0</v>
      </c>
      <c r="QI5" s="126">
        <v>0</v>
      </c>
      <c r="QJ5" s="127">
        <v>0</v>
      </c>
      <c r="QK5" s="126">
        <v>0</v>
      </c>
      <c r="QL5" s="126">
        <v>0</v>
      </c>
      <c r="QM5" s="127">
        <v>0</v>
      </c>
      <c r="QN5" s="126">
        <v>0</v>
      </c>
      <c r="QO5" s="126">
        <v>0</v>
      </c>
      <c r="QP5" s="127">
        <v>0</v>
      </c>
      <c r="QQ5" s="126">
        <v>0</v>
      </c>
      <c r="QR5" s="126">
        <v>0</v>
      </c>
      <c r="QS5" s="127">
        <v>0</v>
      </c>
      <c r="QT5" s="126">
        <v>0</v>
      </c>
      <c r="QU5" s="126">
        <v>0</v>
      </c>
      <c r="QV5" s="127">
        <v>0</v>
      </c>
      <c r="QW5" s="126">
        <v>0</v>
      </c>
      <c r="QX5" s="126">
        <v>0</v>
      </c>
      <c r="QY5" s="127">
        <v>0</v>
      </c>
      <c r="QZ5" s="126">
        <v>0</v>
      </c>
      <c r="RA5" s="126">
        <v>0</v>
      </c>
      <c r="RB5" s="127">
        <v>0</v>
      </c>
      <c r="RC5" s="126">
        <v>0</v>
      </c>
      <c r="RD5" s="126">
        <v>0</v>
      </c>
      <c r="RE5" s="127">
        <v>0</v>
      </c>
      <c r="RF5" s="126">
        <v>0</v>
      </c>
      <c r="RG5" s="126">
        <v>0</v>
      </c>
      <c r="RH5" s="127">
        <v>0</v>
      </c>
      <c r="RI5" s="126">
        <v>0</v>
      </c>
      <c r="RJ5" s="126">
        <v>0</v>
      </c>
      <c r="RK5" s="127">
        <v>0</v>
      </c>
      <c r="RL5" s="126">
        <v>0</v>
      </c>
      <c r="RM5" s="126">
        <v>0</v>
      </c>
      <c r="RN5" s="127">
        <v>0</v>
      </c>
      <c r="RO5" s="126">
        <v>0</v>
      </c>
      <c r="RP5" s="126">
        <v>0</v>
      </c>
      <c r="RQ5" s="127">
        <v>0</v>
      </c>
      <c r="RR5" s="126">
        <v>0</v>
      </c>
      <c r="RS5" s="126">
        <v>0</v>
      </c>
      <c r="RT5" s="127">
        <v>0</v>
      </c>
      <c r="RU5" s="126">
        <v>0</v>
      </c>
      <c r="RV5" s="126">
        <v>0</v>
      </c>
      <c r="RW5" s="127">
        <v>0</v>
      </c>
      <c r="RX5" s="126">
        <v>0</v>
      </c>
      <c r="RY5" s="126">
        <v>0</v>
      </c>
      <c r="RZ5" s="127">
        <v>1</v>
      </c>
      <c r="SA5" s="126">
        <v>0</v>
      </c>
      <c r="SB5" s="126">
        <v>1</v>
      </c>
      <c r="SC5" s="127">
        <v>0</v>
      </c>
      <c r="SD5" s="126">
        <v>0</v>
      </c>
      <c r="SE5" s="126">
        <v>0</v>
      </c>
      <c r="SF5" s="127">
        <v>0</v>
      </c>
      <c r="SG5" s="126">
        <v>0</v>
      </c>
      <c r="SH5" s="126">
        <v>0</v>
      </c>
      <c r="SI5" s="127">
        <v>0</v>
      </c>
      <c r="SJ5" s="126">
        <v>0</v>
      </c>
      <c r="SK5" s="126">
        <v>0</v>
      </c>
      <c r="SL5" s="127">
        <v>0</v>
      </c>
      <c r="SM5" s="126">
        <v>0</v>
      </c>
      <c r="SN5" s="126">
        <v>0</v>
      </c>
      <c r="SO5" s="127">
        <v>0</v>
      </c>
      <c r="SP5" s="126">
        <v>0</v>
      </c>
      <c r="SQ5" s="126">
        <v>0</v>
      </c>
      <c r="SR5" s="127">
        <v>0</v>
      </c>
      <c r="SS5" s="126">
        <v>0</v>
      </c>
      <c r="ST5" s="126">
        <v>0</v>
      </c>
      <c r="SU5" s="127">
        <v>0</v>
      </c>
      <c r="SV5" s="126">
        <v>0</v>
      </c>
      <c r="SW5" s="126">
        <v>0</v>
      </c>
      <c r="SX5" s="127">
        <v>0</v>
      </c>
      <c r="SY5" s="126">
        <v>0</v>
      </c>
      <c r="SZ5" s="126">
        <v>0</v>
      </c>
      <c r="TA5" s="127">
        <v>0</v>
      </c>
      <c r="TB5" s="126">
        <v>0</v>
      </c>
      <c r="TC5" s="126">
        <v>0</v>
      </c>
      <c r="TD5" s="127">
        <v>1</v>
      </c>
      <c r="TE5" s="126">
        <v>1</v>
      </c>
      <c r="TF5" s="126">
        <v>0</v>
      </c>
      <c r="TG5" s="127">
        <v>0</v>
      </c>
      <c r="TH5" s="126">
        <v>0</v>
      </c>
      <c r="TI5" s="126">
        <v>0</v>
      </c>
      <c r="TJ5" s="127">
        <v>0</v>
      </c>
      <c r="TK5" s="126">
        <v>0</v>
      </c>
      <c r="TL5" s="126">
        <v>0</v>
      </c>
      <c r="TM5" s="127">
        <v>0</v>
      </c>
      <c r="TN5" s="126">
        <v>0</v>
      </c>
      <c r="TO5" s="126">
        <v>0</v>
      </c>
      <c r="TP5" s="127">
        <v>0</v>
      </c>
      <c r="TQ5" s="126">
        <v>0</v>
      </c>
      <c r="TR5" s="126">
        <v>0</v>
      </c>
      <c r="TS5" s="127">
        <v>0</v>
      </c>
      <c r="TT5" s="126">
        <v>0</v>
      </c>
      <c r="TU5" s="126">
        <v>0</v>
      </c>
      <c r="TV5" s="127">
        <v>0</v>
      </c>
      <c r="TW5" s="126">
        <v>0</v>
      </c>
      <c r="TX5" s="126">
        <v>0</v>
      </c>
      <c r="TY5" s="127">
        <v>0</v>
      </c>
      <c r="TZ5" s="126">
        <v>0</v>
      </c>
      <c r="UA5" s="126">
        <v>0</v>
      </c>
      <c r="UB5" s="127">
        <v>0</v>
      </c>
      <c r="UC5" s="126">
        <v>0</v>
      </c>
      <c r="UD5" s="126">
        <v>0</v>
      </c>
      <c r="UE5" s="127">
        <v>0</v>
      </c>
      <c r="UF5" s="126">
        <v>0</v>
      </c>
      <c r="UG5" s="126">
        <v>0</v>
      </c>
      <c r="UH5" s="127">
        <v>0</v>
      </c>
      <c r="UI5" s="126">
        <v>0</v>
      </c>
      <c r="UJ5" s="126">
        <v>0</v>
      </c>
      <c r="UK5" s="127">
        <v>0</v>
      </c>
      <c r="UL5" s="126">
        <v>0</v>
      </c>
      <c r="UM5" s="126">
        <v>0</v>
      </c>
      <c r="UN5" s="127">
        <v>0</v>
      </c>
      <c r="UO5" s="126">
        <v>0</v>
      </c>
      <c r="UP5" s="126">
        <v>0</v>
      </c>
      <c r="UQ5" s="127">
        <v>0</v>
      </c>
      <c r="UR5" s="126">
        <v>0</v>
      </c>
      <c r="US5" s="126">
        <v>0</v>
      </c>
      <c r="UT5" s="127">
        <v>0</v>
      </c>
      <c r="UU5" s="126">
        <v>0</v>
      </c>
      <c r="UV5" s="126">
        <v>0</v>
      </c>
      <c r="UW5" s="127">
        <v>0</v>
      </c>
      <c r="UX5" s="126">
        <v>0</v>
      </c>
      <c r="UY5" s="126">
        <v>0</v>
      </c>
      <c r="UZ5" s="127">
        <v>0</v>
      </c>
      <c r="VA5" s="126">
        <v>0</v>
      </c>
      <c r="VB5" s="126">
        <v>0</v>
      </c>
      <c r="VC5" s="127">
        <v>0</v>
      </c>
      <c r="VD5" s="126">
        <v>0</v>
      </c>
      <c r="VE5" s="126">
        <v>0</v>
      </c>
      <c r="VF5" s="126">
        <v>0</v>
      </c>
      <c r="VG5" s="126">
        <v>0</v>
      </c>
      <c r="VH5" s="126">
        <v>0</v>
      </c>
      <c r="VI5" s="126">
        <v>0</v>
      </c>
      <c r="VJ5" s="126">
        <v>0</v>
      </c>
      <c r="VK5" s="126">
        <v>0</v>
      </c>
      <c r="VL5" s="126">
        <v>0</v>
      </c>
      <c r="VM5" s="126">
        <v>0</v>
      </c>
      <c r="VN5" s="126">
        <v>0</v>
      </c>
      <c r="VO5" s="126">
        <v>0</v>
      </c>
      <c r="VP5" s="126">
        <v>0</v>
      </c>
      <c r="VQ5" s="126">
        <v>0</v>
      </c>
      <c r="VR5" s="127">
        <v>0</v>
      </c>
      <c r="VS5" s="126">
        <v>0</v>
      </c>
      <c r="VT5" s="126">
        <v>0</v>
      </c>
      <c r="VU5" s="127">
        <v>0</v>
      </c>
      <c r="VV5" s="126">
        <v>0</v>
      </c>
      <c r="VW5" s="126">
        <v>0</v>
      </c>
      <c r="VX5" s="127">
        <v>0</v>
      </c>
      <c r="VY5" s="126">
        <v>0</v>
      </c>
      <c r="VZ5" s="126">
        <v>0</v>
      </c>
      <c r="WA5" s="127">
        <v>2</v>
      </c>
      <c r="WB5" s="126">
        <v>0</v>
      </c>
      <c r="WC5" s="125">
        <v>2</v>
      </c>
    </row>
    <row r="6" spans="1:2837" s="116" customFormat="1" ht="15" customHeight="1" x14ac:dyDescent="0.15">
      <c r="A6" s="124"/>
      <c r="B6" s="123"/>
      <c r="C6" s="122"/>
      <c r="D6" s="121"/>
      <c r="E6" s="118"/>
      <c r="F6" s="120"/>
      <c r="G6" s="120"/>
      <c r="H6" s="118"/>
      <c r="I6" s="120"/>
      <c r="J6" s="120"/>
      <c r="K6" s="118"/>
      <c r="L6" s="120"/>
      <c r="M6" s="120"/>
      <c r="N6" s="118"/>
      <c r="O6" s="120"/>
      <c r="P6" s="120"/>
      <c r="Q6" s="118"/>
      <c r="R6" s="120"/>
      <c r="S6" s="120"/>
      <c r="T6" s="118"/>
      <c r="U6" s="120"/>
      <c r="V6" s="120"/>
      <c r="W6" s="118"/>
      <c r="X6" s="120"/>
      <c r="Y6" s="120"/>
      <c r="Z6" s="118"/>
      <c r="AA6" s="120"/>
      <c r="AB6" s="120"/>
      <c r="AC6" s="118"/>
      <c r="AD6" s="120"/>
      <c r="AE6" s="120"/>
      <c r="AF6" s="118"/>
      <c r="AG6" s="120"/>
      <c r="AH6" s="120"/>
      <c r="AI6" s="118"/>
      <c r="AJ6" s="120"/>
      <c r="AK6" s="120"/>
      <c r="AL6" s="118"/>
      <c r="AM6" s="120"/>
      <c r="AN6" s="120"/>
      <c r="AO6" s="118"/>
      <c r="AP6" s="120"/>
      <c r="AQ6" s="120"/>
      <c r="AR6" s="118"/>
      <c r="AS6" s="120"/>
      <c r="AT6" s="120"/>
      <c r="AU6" s="118"/>
      <c r="AV6" s="120"/>
      <c r="AW6" s="120"/>
      <c r="AX6" s="118"/>
      <c r="AY6" s="120"/>
      <c r="AZ6" s="120"/>
      <c r="BA6" s="118"/>
      <c r="BB6" s="120"/>
      <c r="BC6" s="120"/>
      <c r="BD6" s="118"/>
      <c r="BE6" s="120"/>
      <c r="BF6" s="120"/>
      <c r="BG6" s="118"/>
      <c r="BH6" s="120"/>
      <c r="BI6" s="120"/>
      <c r="BJ6" s="118"/>
      <c r="BK6" s="120"/>
      <c r="BL6" s="120"/>
      <c r="BM6" s="118"/>
      <c r="BN6" s="120"/>
      <c r="BO6" s="120"/>
      <c r="BP6" s="118"/>
      <c r="BQ6" s="120"/>
      <c r="BR6" s="120"/>
      <c r="BS6" s="118"/>
      <c r="BT6" s="120"/>
      <c r="BU6" s="120"/>
      <c r="BV6" s="118"/>
      <c r="BW6" s="120"/>
      <c r="BX6" s="120"/>
      <c r="BY6" s="118"/>
      <c r="BZ6" s="120"/>
      <c r="CA6" s="120"/>
      <c r="CB6" s="118"/>
      <c r="CC6" s="120"/>
      <c r="CD6" s="120"/>
      <c r="CE6" s="118"/>
      <c r="CF6" s="120"/>
      <c r="CG6" s="120"/>
      <c r="CH6" s="118"/>
      <c r="CI6" s="120"/>
      <c r="CJ6" s="120"/>
      <c r="CK6" s="118"/>
      <c r="CL6" s="120"/>
      <c r="CM6" s="120"/>
      <c r="CN6" s="118"/>
      <c r="CO6" s="120"/>
      <c r="CP6" s="120"/>
      <c r="CQ6" s="118"/>
      <c r="CR6" s="120"/>
      <c r="CS6" s="120"/>
      <c r="CT6" s="118"/>
      <c r="CU6" s="120"/>
      <c r="CV6" s="120"/>
      <c r="CW6" s="118"/>
      <c r="CX6" s="120"/>
      <c r="CY6" s="120"/>
      <c r="CZ6" s="118"/>
      <c r="DA6" s="120"/>
      <c r="DB6" s="120"/>
      <c r="DC6" s="118"/>
      <c r="DD6" s="120"/>
      <c r="DE6" s="120"/>
      <c r="DF6" s="118"/>
      <c r="DG6" s="120"/>
      <c r="DH6" s="120"/>
      <c r="DI6" s="118"/>
      <c r="DJ6" s="120"/>
      <c r="DK6" s="120"/>
      <c r="DL6" s="118"/>
      <c r="DM6" s="120"/>
      <c r="DN6" s="120"/>
      <c r="DO6" s="118"/>
      <c r="DP6" s="120"/>
      <c r="DQ6" s="120"/>
      <c r="DR6" s="118"/>
      <c r="DS6" s="120"/>
      <c r="DT6" s="120"/>
      <c r="DU6" s="118"/>
      <c r="DV6" s="120"/>
      <c r="DW6" s="120"/>
      <c r="DX6" s="118"/>
      <c r="DY6" s="120"/>
      <c r="DZ6" s="120"/>
      <c r="EA6" s="118"/>
      <c r="EB6" s="120"/>
      <c r="EC6" s="120"/>
      <c r="ED6" s="118"/>
      <c r="EE6" s="120"/>
      <c r="EF6" s="120"/>
      <c r="EG6" s="118"/>
      <c r="EH6" s="120"/>
      <c r="EI6" s="120"/>
      <c r="EJ6" s="118"/>
      <c r="EK6" s="120"/>
      <c r="EL6" s="120"/>
      <c r="EM6" s="118"/>
      <c r="EN6" s="120"/>
      <c r="EO6" s="120"/>
      <c r="EP6" s="118"/>
      <c r="EQ6" s="120"/>
      <c r="ER6" s="120"/>
      <c r="ES6" s="118"/>
      <c r="ET6" s="120"/>
      <c r="EU6" s="120"/>
      <c r="EV6" s="118"/>
      <c r="EW6" s="120"/>
      <c r="EX6" s="120"/>
      <c r="EY6" s="118"/>
      <c r="EZ6" s="120"/>
      <c r="FA6" s="120"/>
      <c r="FB6" s="118"/>
      <c r="FC6" s="120"/>
      <c r="FD6" s="120"/>
      <c r="FE6" s="118"/>
      <c r="FF6" s="120"/>
      <c r="FG6" s="120"/>
      <c r="FH6" s="118"/>
      <c r="FI6" s="120"/>
      <c r="FJ6" s="120"/>
      <c r="FK6" s="118"/>
      <c r="FL6" s="120"/>
      <c r="FM6" s="120"/>
      <c r="FN6" s="118"/>
      <c r="FO6" s="120"/>
      <c r="FP6" s="120"/>
      <c r="FQ6" s="118"/>
      <c r="FR6" s="120"/>
      <c r="FS6" s="120"/>
      <c r="FT6" s="118"/>
      <c r="FU6" s="120"/>
      <c r="FV6" s="120"/>
      <c r="FW6" s="118"/>
      <c r="FX6" s="117"/>
      <c r="FY6" s="117"/>
      <c r="FZ6" s="118"/>
      <c r="GA6" s="120"/>
      <c r="GB6" s="120"/>
      <c r="GC6" s="118"/>
      <c r="GD6" s="120"/>
      <c r="GE6" s="120"/>
      <c r="GF6" s="118"/>
      <c r="GG6" s="120"/>
      <c r="GH6" s="120"/>
      <c r="GI6" s="118"/>
      <c r="GJ6" s="120"/>
      <c r="GK6" s="120"/>
      <c r="GL6" s="118"/>
      <c r="GM6" s="120"/>
      <c r="GN6" s="120"/>
      <c r="GO6" s="118"/>
      <c r="GP6" s="120"/>
      <c r="GQ6" s="120"/>
      <c r="GR6" s="118"/>
      <c r="GS6" s="120"/>
      <c r="GT6" s="120"/>
      <c r="GU6" s="118"/>
      <c r="GV6" s="120"/>
      <c r="GW6" s="120"/>
      <c r="GX6" s="118"/>
      <c r="GY6" s="120"/>
      <c r="GZ6" s="120"/>
      <c r="HA6" s="118"/>
      <c r="HB6" s="120"/>
      <c r="HC6" s="120"/>
      <c r="HD6" s="118"/>
      <c r="HE6" s="120"/>
      <c r="HF6" s="120"/>
      <c r="HG6" s="118"/>
      <c r="HH6" s="120"/>
      <c r="HI6" s="120"/>
      <c r="HJ6" s="118"/>
      <c r="HK6" s="120"/>
      <c r="HL6" s="120"/>
      <c r="HM6" s="118"/>
      <c r="HN6" s="120"/>
      <c r="HO6" s="120"/>
      <c r="HP6" s="118"/>
      <c r="HQ6" s="120"/>
      <c r="HR6" s="120"/>
      <c r="HS6" s="118"/>
      <c r="HT6" s="120"/>
      <c r="HU6" s="120"/>
      <c r="HV6" s="118"/>
      <c r="HW6" s="120"/>
      <c r="HX6" s="120"/>
      <c r="HY6" s="118"/>
      <c r="HZ6" s="120"/>
      <c r="IA6" s="120"/>
      <c r="IB6" s="118"/>
      <c r="IC6" s="120"/>
      <c r="ID6" s="120"/>
      <c r="IE6" s="118"/>
      <c r="IF6" s="120"/>
      <c r="IG6" s="120"/>
      <c r="IH6" s="118"/>
      <c r="II6" s="120"/>
      <c r="IJ6" s="120"/>
      <c r="IK6" s="118"/>
      <c r="IL6" s="120"/>
      <c r="IM6" s="120"/>
      <c r="IN6" s="118"/>
      <c r="IO6" s="120"/>
      <c r="IP6" s="120"/>
      <c r="IQ6" s="118"/>
      <c r="IR6" s="120"/>
      <c r="IS6" s="120"/>
      <c r="IT6" s="118"/>
      <c r="IU6" s="120"/>
      <c r="IV6" s="120"/>
      <c r="IW6" s="118"/>
      <c r="IX6" s="120"/>
      <c r="IY6" s="120"/>
      <c r="IZ6" s="118"/>
      <c r="JA6" s="120"/>
      <c r="JB6" s="120"/>
      <c r="JC6" s="118"/>
      <c r="JD6" s="120"/>
      <c r="JE6" s="120"/>
      <c r="JF6" s="118"/>
      <c r="JG6" s="120"/>
      <c r="JH6" s="120"/>
      <c r="JI6" s="118"/>
      <c r="JJ6" s="120"/>
      <c r="JK6" s="120"/>
      <c r="JL6" s="118"/>
      <c r="JM6" s="119"/>
      <c r="JN6" s="119"/>
      <c r="JO6" s="118"/>
      <c r="JP6" s="117"/>
      <c r="JQ6" s="117"/>
      <c r="JR6" s="118"/>
      <c r="JS6" s="117"/>
      <c r="JT6" s="117"/>
      <c r="JU6" s="118"/>
      <c r="JV6" s="117"/>
      <c r="JW6" s="117"/>
      <c r="JX6" s="118"/>
      <c r="JY6" s="117"/>
      <c r="JZ6" s="117"/>
      <c r="KA6" s="118"/>
      <c r="KB6" s="117"/>
      <c r="KC6" s="117"/>
      <c r="KD6" s="118"/>
      <c r="KE6" s="117"/>
      <c r="KF6" s="117"/>
      <c r="KG6" s="118"/>
      <c r="KH6" s="117"/>
      <c r="KI6" s="117"/>
      <c r="KJ6" s="118"/>
      <c r="KK6" s="117"/>
      <c r="KL6" s="117"/>
      <c r="KM6" s="118"/>
      <c r="KN6" s="117"/>
      <c r="KO6" s="117"/>
      <c r="KP6" s="118"/>
      <c r="KQ6" s="117"/>
      <c r="KR6" s="117"/>
      <c r="KS6" s="118"/>
      <c r="KT6" s="117"/>
      <c r="KU6" s="117"/>
      <c r="KV6" s="118"/>
      <c r="KW6" s="117"/>
      <c r="KX6" s="117"/>
      <c r="KY6" s="118"/>
      <c r="KZ6" s="117"/>
      <c r="LA6" s="117"/>
      <c r="LB6" s="118"/>
      <c r="LC6" s="117"/>
      <c r="LD6" s="117"/>
      <c r="LE6" s="118"/>
      <c r="LF6" s="117"/>
      <c r="LG6" s="117"/>
      <c r="LH6" s="118"/>
      <c r="LI6" s="117"/>
      <c r="LJ6" s="117"/>
      <c r="LK6" s="118"/>
      <c r="LL6" s="117"/>
      <c r="LM6" s="117"/>
      <c r="LN6" s="118"/>
      <c r="LO6" s="117"/>
      <c r="LP6" s="117"/>
      <c r="LQ6" s="118"/>
      <c r="LR6" s="117"/>
      <c r="LS6" s="117"/>
      <c r="LT6" s="118"/>
      <c r="LU6" s="117"/>
      <c r="LV6" s="117"/>
      <c r="LW6" s="118"/>
      <c r="LX6" s="117"/>
      <c r="LY6" s="117"/>
      <c r="LZ6" s="118"/>
      <c r="MA6" s="117"/>
      <c r="MB6" s="117"/>
      <c r="MC6" s="118"/>
      <c r="MD6" s="117"/>
      <c r="ME6" s="117"/>
      <c r="MF6" s="118"/>
      <c r="MG6" s="117"/>
      <c r="MH6" s="117"/>
      <c r="MI6" s="118"/>
      <c r="MJ6" s="117"/>
      <c r="MK6" s="117"/>
      <c r="ML6" s="118"/>
      <c r="MM6" s="117"/>
      <c r="MN6" s="117"/>
      <c r="MO6" s="118"/>
      <c r="MP6" s="117"/>
      <c r="MQ6" s="117"/>
      <c r="MR6" s="118"/>
      <c r="MS6" s="117"/>
      <c r="MT6" s="117"/>
      <c r="MU6" s="118"/>
      <c r="MV6" s="117"/>
      <c r="MW6" s="117"/>
      <c r="MX6" s="118"/>
      <c r="MY6" s="117"/>
      <c r="MZ6" s="117"/>
      <c r="NA6" s="118"/>
      <c r="NB6" s="117"/>
      <c r="NC6" s="117"/>
      <c r="ND6" s="118"/>
      <c r="NE6" s="117"/>
      <c r="NF6" s="117"/>
      <c r="NG6" s="118"/>
      <c r="NH6" s="117"/>
      <c r="NI6" s="117"/>
      <c r="NJ6" s="118"/>
      <c r="NK6" s="117"/>
      <c r="NL6" s="117"/>
      <c r="NM6" s="118"/>
      <c r="NN6" s="117"/>
      <c r="NO6" s="117"/>
      <c r="NP6" s="118"/>
      <c r="NQ6" s="117"/>
      <c r="NR6" s="117"/>
      <c r="NS6" s="118"/>
      <c r="NT6" s="117"/>
      <c r="NU6" s="117"/>
      <c r="NV6" s="118"/>
      <c r="NW6" s="117"/>
      <c r="NX6" s="117"/>
      <c r="NY6" s="118"/>
      <c r="NZ6" s="117"/>
      <c r="OA6" s="117"/>
      <c r="OB6" s="118"/>
      <c r="OC6" s="117"/>
      <c r="OD6" s="117"/>
      <c r="OE6" s="118"/>
      <c r="OF6" s="117"/>
      <c r="OG6" s="117"/>
      <c r="OH6" s="118"/>
      <c r="OI6" s="117"/>
      <c r="OJ6" s="117"/>
      <c r="OK6" s="118"/>
      <c r="OL6" s="117"/>
      <c r="OM6" s="117"/>
      <c r="ON6" s="118"/>
      <c r="OO6" s="117"/>
      <c r="OP6" s="117"/>
      <c r="OQ6" s="118"/>
      <c r="OR6" s="117"/>
      <c r="OS6" s="117"/>
      <c r="OT6" s="118"/>
      <c r="OU6" s="117"/>
      <c r="OV6" s="117"/>
      <c r="OW6" s="118"/>
      <c r="OX6" s="117"/>
      <c r="OY6" s="117"/>
      <c r="OZ6" s="118"/>
      <c r="PA6" s="117"/>
      <c r="PB6" s="117"/>
      <c r="PC6" s="118"/>
      <c r="PD6" s="117"/>
      <c r="PE6" s="117"/>
      <c r="PF6" s="118"/>
      <c r="PG6" s="117"/>
      <c r="PH6" s="117"/>
      <c r="PI6" s="118"/>
      <c r="PJ6" s="117"/>
      <c r="PK6" s="117"/>
      <c r="PL6" s="118"/>
      <c r="PM6" s="117"/>
      <c r="PN6" s="117"/>
      <c r="PO6" s="118"/>
      <c r="PP6" s="117"/>
      <c r="PQ6" s="117"/>
      <c r="PR6" s="118"/>
      <c r="PS6" s="117"/>
      <c r="PT6" s="117"/>
      <c r="PU6" s="118"/>
      <c r="PV6" s="117"/>
      <c r="PW6" s="117"/>
      <c r="PX6" s="118"/>
      <c r="PY6" s="117"/>
      <c r="PZ6" s="117"/>
      <c r="QA6" s="118"/>
      <c r="QB6" s="117"/>
      <c r="QC6" s="117"/>
      <c r="QD6" s="118"/>
      <c r="QE6" s="117"/>
      <c r="QF6" s="117"/>
      <c r="QG6" s="118"/>
      <c r="QH6" s="117"/>
      <c r="QI6" s="117"/>
      <c r="QJ6" s="118"/>
      <c r="QK6" s="117"/>
      <c r="QL6" s="117"/>
      <c r="QM6" s="118"/>
      <c r="QN6" s="117"/>
      <c r="QO6" s="117"/>
      <c r="QP6" s="118"/>
      <c r="QQ6" s="117"/>
      <c r="QR6" s="117"/>
      <c r="QS6" s="118"/>
      <c r="QT6" s="117"/>
      <c r="QU6" s="117"/>
      <c r="QV6" s="118"/>
      <c r="QW6" s="117"/>
      <c r="QX6" s="117"/>
      <c r="QY6" s="118"/>
      <c r="QZ6" s="117"/>
      <c r="RA6" s="117"/>
      <c r="RB6" s="118"/>
      <c r="RC6" s="117"/>
      <c r="RD6" s="117"/>
      <c r="RE6" s="118"/>
      <c r="RF6" s="117"/>
      <c r="RG6" s="117"/>
      <c r="RH6" s="118"/>
      <c r="RI6" s="117"/>
      <c r="RJ6" s="117"/>
      <c r="RK6" s="118"/>
      <c r="RL6" s="117"/>
      <c r="RM6" s="117"/>
      <c r="RN6" s="118"/>
      <c r="RO6" s="117"/>
      <c r="RP6" s="117"/>
      <c r="RQ6" s="118"/>
      <c r="RR6" s="117"/>
      <c r="RS6" s="117"/>
      <c r="RT6" s="118"/>
      <c r="RU6" s="117"/>
      <c r="RV6" s="117"/>
      <c r="RW6" s="118"/>
      <c r="RX6" s="117"/>
      <c r="RY6" s="117"/>
      <c r="RZ6" s="118"/>
      <c r="SA6" s="117"/>
      <c r="SB6" s="117"/>
      <c r="SC6" s="118"/>
      <c r="SD6" s="117"/>
      <c r="SE6" s="117"/>
      <c r="SF6" s="118"/>
      <c r="SG6" s="117"/>
      <c r="SH6" s="117"/>
      <c r="SI6" s="118"/>
      <c r="SJ6" s="117"/>
      <c r="SK6" s="117"/>
    </row>
  </sheetData>
  <mergeCells count="201">
    <mergeCell ref="BG3:BI3"/>
    <mergeCell ref="BJ3:BL3"/>
    <mergeCell ref="BM3:BO3"/>
    <mergeCell ref="A1:J1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EA3:EC3"/>
    <mergeCell ref="ED3:EF3"/>
    <mergeCell ref="EG3:EI3"/>
    <mergeCell ref="BP3:BR3"/>
    <mergeCell ref="BS3:BU3"/>
    <mergeCell ref="BV3:BX3"/>
    <mergeCell ref="BY3:CA3"/>
    <mergeCell ref="CB3:CD3"/>
    <mergeCell ref="CE3:CG3"/>
    <mergeCell ref="CH3:CJ3"/>
    <mergeCell ref="CK3:CM3"/>
    <mergeCell ref="CN3:CP3"/>
    <mergeCell ref="CQ3:CS3"/>
    <mergeCell ref="CT3:CV3"/>
    <mergeCell ref="CW3:CY3"/>
    <mergeCell ref="CZ3:DB3"/>
    <mergeCell ref="DC3:DE3"/>
    <mergeCell ref="DF3:DH3"/>
    <mergeCell ref="DI3:DK3"/>
    <mergeCell ref="DL3:DN3"/>
    <mergeCell ref="DO3:DQ3"/>
    <mergeCell ref="DR3:DT3"/>
    <mergeCell ref="DU3:DW3"/>
    <mergeCell ref="DX3:DZ3"/>
    <mergeCell ref="GU3:GW3"/>
    <mergeCell ref="GX3:GZ3"/>
    <mergeCell ref="HA3:HC3"/>
    <mergeCell ref="EJ3:EL3"/>
    <mergeCell ref="EM3:EO3"/>
    <mergeCell ref="EP3:ER3"/>
    <mergeCell ref="ES3:EU3"/>
    <mergeCell ref="EV3:EX3"/>
    <mergeCell ref="EY3:FA3"/>
    <mergeCell ref="FB3:FD3"/>
    <mergeCell ref="FE3:FG3"/>
    <mergeCell ref="FH3:FJ3"/>
    <mergeCell ref="FK3:FM3"/>
    <mergeCell ref="FN3:FP3"/>
    <mergeCell ref="FQ3:FS3"/>
    <mergeCell ref="FT3:FV3"/>
    <mergeCell ref="FW3:FY3"/>
    <mergeCell ref="FZ3:GB3"/>
    <mergeCell ref="GC3:GE3"/>
    <mergeCell ref="GF3:GH3"/>
    <mergeCell ref="GI3:GK3"/>
    <mergeCell ref="GL3:GN3"/>
    <mergeCell ref="GO3:GQ3"/>
    <mergeCell ref="GR3:GT3"/>
    <mergeCell ref="JO3:JQ3"/>
    <mergeCell ref="JR3:JT3"/>
    <mergeCell ref="JU3:JW3"/>
    <mergeCell ref="HD3:HF3"/>
    <mergeCell ref="HG3:HI3"/>
    <mergeCell ref="HJ3:HL3"/>
    <mergeCell ref="HM3:HO3"/>
    <mergeCell ref="HP3:HR3"/>
    <mergeCell ref="HS3:HU3"/>
    <mergeCell ref="HV3:HX3"/>
    <mergeCell ref="HY3:IA3"/>
    <mergeCell ref="IB3:ID3"/>
    <mergeCell ref="IE3:IG3"/>
    <mergeCell ref="IH3:IJ3"/>
    <mergeCell ref="IK3:IM3"/>
    <mergeCell ref="IN3:IP3"/>
    <mergeCell ref="IQ3:IS3"/>
    <mergeCell ref="IT3:IV3"/>
    <mergeCell ref="IW3:IY3"/>
    <mergeCell ref="IZ3:JB3"/>
    <mergeCell ref="JC3:JE3"/>
    <mergeCell ref="JF3:JH3"/>
    <mergeCell ref="JI3:JK3"/>
    <mergeCell ref="JL3:JN3"/>
    <mergeCell ref="MI3:MK3"/>
    <mergeCell ref="ML3:MN3"/>
    <mergeCell ref="MO3:MQ3"/>
    <mergeCell ref="JX3:JZ3"/>
    <mergeCell ref="KA3:KC3"/>
    <mergeCell ref="KD3:KF3"/>
    <mergeCell ref="KG3:KI3"/>
    <mergeCell ref="KJ3:KL3"/>
    <mergeCell ref="KM3:KO3"/>
    <mergeCell ref="KP3:KR3"/>
    <mergeCell ref="KS3:KU3"/>
    <mergeCell ref="KV3:KX3"/>
    <mergeCell ref="KY3:LA3"/>
    <mergeCell ref="LB3:LD3"/>
    <mergeCell ref="LE3:LG3"/>
    <mergeCell ref="LH3:LJ3"/>
    <mergeCell ref="LK3:LM3"/>
    <mergeCell ref="LN3:LP3"/>
    <mergeCell ref="LQ3:LS3"/>
    <mergeCell ref="LT3:LV3"/>
    <mergeCell ref="LW3:LY3"/>
    <mergeCell ref="LZ3:MB3"/>
    <mergeCell ref="MC3:ME3"/>
    <mergeCell ref="MF3:MH3"/>
    <mergeCell ref="PC3:PE3"/>
    <mergeCell ref="PF3:PH3"/>
    <mergeCell ref="PI3:PK3"/>
    <mergeCell ref="MR3:MT3"/>
    <mergeCell ref="MU3:MW3"/>
    <mergeCell ref="MX3:MZ3"/>
    <mergeCell ref="NA3:NC3"/>
    <mergeCell ref="ND3:NF3"/>
    <mergeCell ref="NG3:NI3"/>
    <mergeCell ref="NJ3:NL3"/>
    <mergeCell ref="NM3:NO3"/>
    <mergeCell ref="NP3:NR3"/>
    <mergeCell ref="NS3:NU3"/>
    <mergeCell ref="NV3:NX3"/>
    <mergeCell ref="NY3:OA3"/>
    <mergeCell ref="OB3:OD3"/>
    <mergeCell ref="OE3:OG3"/>
    <mergeCell ref="OH3:OJ3"/>
    <mergeCell ref="OK3:OM3"/>
    <mergeCell ref="ON3:OP3"/>
    <mergeCell ref="OQ3:OS3"/>
    <mergeCell ref="OT3:OV3"/>
    <mergeCell ref="OW3:OY3"/>
    <mergeCell ref="OZ3:PB3"/>
    <mergeCell ref="RW3:RY3"/>
    <mergeCell ref="RZ3:SB3"/>
    <mergeCell ref="SC3:SE3"/>
    <mergeCell ref="PL3:PN3"/>
    <mergeCell ref="PO3:PQ3"/>
    <mergeCell ref="PR3:PT3"/>
    <mergeCell ref="PU3:PW3"/>
    <mergeCell ref="PX3:PZ3"/>
    <mergeCell ref="QA3:QC3"/>
    <mergeCell ref="QD3:QF3"/>
    <mergeCell ref="QG3:QI3"/>
    <mergeCell ref="QJ3:QL3"/>
    <mergeCell ref="QM3:QO3"/>
    <mergeCell ref="QP3:QR3"/>
    <mergeCell ref="QS3:QU3"/>
    <mergeCell ref="QV3:QX3"/>
    <mergeCell ref="QY3:RA3"/>
    <mergeCell ref="RB3:RD3"/>
    <mergeCell ref="RE3:RG3"/>
    <mergeCell ref="RH3:RJ3"/>
    <mergeCell ref="RK3:RM3"/>
    <mergeCell ref="RN3:RP3"/>
    <mergeCell ref="RQ3:RS3"/>
    <mergeCell ref="RT3:RV3"/>
    <mergeCell ref="UT3:UV3"/>
    <mergeCell ref="UW3:UY3"/>
    <mergeCell ref="UZ3:VB3"/>
    <mergeCell ref="SF3:SH3"/>
    <mergeCell ref="SI3:SK3"/>
    <mergeCell ref="SL3:SN3"/>
    <mergeCell ref="SO3:SQ3"/>
    <mergeCell ref="SR3:ST3"/>
    <mergeCell ref="SU3:SW3"/>
    <mergeCell ref="SX3:SZ3"/>
    <mergeCell ref="TA3:TC3"/>
    <mergeCell ref="TD3:TF3"/>
    <mergeCell ref="TG3:TI3"/>
    <mergeCell ref="TM3:TO3"/>
    <mergeCell ref="TP3:TR3"/>
    <mergeCell ref="TS3:TU3"/>
    <mergeCell ref="TV3:TX3"/>
    <mergeCell ref="TY3:UA3"/>
    <mergeCell ref="UB3:UD3"/>
    <mergeCell ref="UE3:UG3"/>
    <mergeCell ref="UH3:UJ3"/>
    <mergeCell ref="UK3:UM3"/>
    <mergeCell ref="UN3:UP3"/>
    <mergeCell ref="UQ3:US3"/>
    <mergeCell ref="VU3:VW3"/>
    <mergeCell ref="VX3:VZ3"/>
    <mergeCell ref="WA3:WC3"/>
    <mergeCell ref="VC3:VE3"/>
    <mergeCell ref="VF3:VH3"/>
    <mergeCell ref="VI3:VK3"/>
    <mergeCell ref="VL3:VN3"/>
    <mergeCell ref="VO3:VQ3"/>
    <mergeCell ref="VR3:VT3"/>
  </mergeCells>
  <phoneticPr fontId="5" type="noConversion"/>
  <conditionalFormatting sqref="B5">
    <cfRule type="expression" dxfId="1" priority="2">
      <formula>B5&lt;&gt;#REF!</formula>
    </cfRule>
  </conditionalFormatting>
  <conditionalFormatting sqref="C5:D5">
    <cfRule type="expression" dxfId="0" priority="1">
      <formula>C5&lt;&gt;#REF!</formula>
    </cfRule>
  </conditionalFormatting>
  <pageMargins left="1.1811023622047245" right="0.78740157480314965" top="1.5748031496062993" bottom="0.98425196850393704" header="0.19685039370078741" footer="0.19685039370078741"/>
  <pageSetup paperSize="9" scale="10" orientation="portrait" blackAndWhite="1" r:id="rId1"/>
  <headerFooter alignWithMargins="0">
    <oddFooter xml:space="preserve">&amp;R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9</vt:i4>
      </vt:variant>
    </vt:vector>
  </HeadingPairs>
  <TitlesOfParts>
    <vt:vector size="15" baseType="lpstr">
      <vt:lpstr>표1. 세대 및 인구</vt:lpstr>
      <vt:lpstr>표2. 동별 세대 및 인구</vt:lpstr>
      <vt:lpstr>표3. 연령별 인구(외국인제외)</vt:lpstr>
      <vt:lpstr>표4. 동별 연령별 인구(외국인제외)</vt:lpstr>
      <vt:lpstr>표5. 연령별 외국인 현황</vt:lpstr>
      <vt:lpstr>표6. 국적별 외국인</vt:lpstr>
      <vt:lpstr>'표1. 세대 및 인구'!Print_Area</vt:lpstr>
      <vt:lpstr>'표2. 동별 세대 및 인구'!Print_Area</vt:lpstr>
      <vt:lpstr>'표3. 연령별 인구(외국인제외)'!Print_Area</vt:lpstr>
      <vt:lpstr>'표4. 동별 연령별 인구(외국인제외)'!Print_Area</vt:lpstr>
      <vt:lpstr>'표5. 연령별 외국인 현황'!Print_Area</vt:lpstr>
      <vt:lpstr>'표6. 국적별 외국인'!Print_Area</vt:lpstr>
      <vt:lpstr>'표3. 연령별 인구(외국인제외)'!Print_Titles</vt:lpstr>
      <vt:lpstr>'표4. 동별 연령별 인구(외국인제외)'!Print_Titles</vt:lpstr>
      <vt:lpstr>'표5. 연령별 외국인 현황'!Print_Titles</vt:lpstr>
    </vt:vector>
  </TitlesOfParts>
  <Company>통계계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통계계</dc:creator>
  <cp:lastModifiedBy>PC</cp:lastModifiedBy>
  <cp:lastPrinted>2019-02-18T07:55:29Z</cp:lastPrinted>
  <dcterms:created xsi:type="dcterms:W3CDTF">1998-11-14T08:29:16Z</dcterms:created>
  <dcterms:modified xsi:type="dcterms:W3CDTF">2026-03-09T00:32:59Z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2F1E1603">
    <vt:lpwstr/>
  </property>
  <property fmtid="{D5CDD505-2E9C-101B-9397-08002B2CF9AE}" pid="3" name="IVIDC">
    <vt:lpwstr/>
  </property>
  <property fmtid="{D5CDD505-2E9C-101B-9397-08002B2CF9AE}" pid="4" name="IVID362F13E8">
    <vt:lpwstr/>
  </property>
  <property fmtid="{D5CDD505-2E9C-101B-9397-08002B2CF9AE}" pid="5" name="IVID3A3618F1">
    <vt:lpwstr/>
  </property>
  <property fmtid="{D5CDD505-2E9C-101B-9397-08002B2CF9AE}" pid="6" name="IVID15E41318">
    <vt:lpwstr/>
  </property>
  <property fmtid="{D5CDD505-2E9C-101B-9397-08002B2CF9AE}" pid="7" name="IVID181914D9">
    <vt:lpwstr/>
  </property>
  <property fmtid="{D5CDD505-2E9C-101B-9397-08002B2CF9AE}" pid="8" name="IVID155815FB">
    <vt:lpwstr/>
  </property>
  <property fmtid="{D5CDD505-2E9C-101B-9397-08002B2CF9AE}" pid="9" name="IVIDD091BF0">
    <vt:lpwstr/>
  </property>
  <property fmtid="{D5CDD505-2E9C-101B-9397-08002B2CF9AE}" pid="10" name="IVID344CCFFC">
    <vt:lpwstr/>
  </property>
  <property fmtid="{D5CDD505-2E9C-101B-9397-08002B2CF9AE}" pid="11" name="IVID1A7D12ED">
    <vt:lpwstr/>
  </property>
  <property fmtid="{D5CDD505-2E9C-101B-9397-08002B2CF9AE}" pid="12" name="IVID1B2115FE">
    <vt:lpwstr/>
  </property>
  <property fmtid="{D5CDD505-2E9C-101B-9397-08002B2CF9AE}" pid="13" name="IVID35431BD0">
    <vt:lpwstr/>
  </property>
  <property fmtid="{D5CDD505-2E9C-101B-9397-08002B2CF9AE}" pid="14" name="IVID4637A884">
    <vt:lpwstr/>
  </property>
  <property fmtid="{D5CDD505-2E9C-101B-9397-08002B2CF9AE}" pid="15" name="IVID127C14F5">
    <vt:lpwstr/>
  </property>
  <property fmtid="{D5CDD505-2E9C-101B-9397-08002B2CF9AE}" pid="16" name="IVID1834F0DD">
    <vt:lpwstr/>
  </property>
  <property fmtid="{D5CDD505-2E9C-101B-9397-08002B2CF9AE}" pid="17" name="IVID312119E0">
    <vt:lpwstr/>
  </property>
  <property fmtid="{D5CDD505-2E9C-101B-9397-08002B2CF9AE}" pid="18" name="IVID1C5812DA">
    <vt:lpwstr/>
  </property>
  <property fmtid="{D5CDD505-2E9C-101B-9397-08002B2CF9AE}" pid="19" name="IVID173907ED">
    <vt:lpwstr/>
  </property>
  <property fmtid="{D5CDD505-2E9C-101B-9397-08002B2CF9AE}" pid="20" name="IVID1D3F17E2">
    <vt:lpwstr/>
  </property>
  <property fmtid="{D5CDD505-2E9C-101B-9397-08002B2CF9AE}" pid="21" name="IVID13451200">
    <vt:lpwstr/>
  </property>
  <property fmtid="{D5CDD505-2E9C-101B-9397-08002B2CF9AE}" pid="22" name="IVID475611CF">
    <vt:lpwstr/>
  </property>
  <property fmtid="{D5CDD505-2E9C-101B-9397-08002B2CF9AE}" pid="23" name="IVID302D13DA">
    <vt:lpwstr/>
  </property>
  <property fmtid="{D5CDD505-2E9C-101B-9397-08002B2CF9AE}" pid="24" name="IVIDD5915D9">
    <vt:lpwstr/>
  </property>
  <property fmtid="{D5CDD505-2E9C-101B-9397-08002B2CF9AE}" pid="25" name="IVID17F6384A">
    <vt:lpwstr/>
  </property>
  <property fmtid="{D5CDD505-2E9C-101B-9397-08002B2CF9AE}" pid="26" name="IVID3B5A10EA">
    <vt:lpwstr/>
  </property>
  <property fmtid="{D5CDD505-2E9C-101B-9397-08002B2CF9AE}" pid="27" name="IVID3D0F16E3">
    <vt:lpwstr/>
  </property>
  <property fmtid="{D5CDD505-2E9C-101B-9397-08002B2CF9AE}" pid="28" name="IVID30260FFC">
    <vt:lpwstr/>
  </property>
  <property fmtid="{D5CDD505-2E9C-101B-9397-08002B2CF9AE}" pid="29" name="IVID2F301BED">
    <vt:lpwstr/>
  </property>
  <property fmtid="{D5CDD505-2E9C-101B-9397-08002B2CF9AE}" pid="30" name="IVID2F1117F5">
    <vt:lpwstr/>
  </property>
  <property fmtid="{D5CDD505-2E9C-101B-9397-08002B2CF9AE}" pid="31" name="IVID121617DE">
    <vt:lpwstr/>
  </property>
  <property fmtid="{D5CDD505-2E9C-101B-9397-08002B2CF9AE}" pid="32" name="IVID13691AF2">
    <vt:lpwstr/>
  </property>
  <property fmtid="{D5CDD505-2E9C-101B-9397-08002B2CF9AE}" pid="33" name="IVID1A3B0AF0">
    <vt:lpwstr/>
  </property>
  <property fmtid="{D5CDD505-2E9C-101B-9397-08002B2CF9AE}" pid="34" name="IVID373F12DB">
    <vt:lpwstr/>
  </property>
  <property fmtid="{D5CDD505-2E9C-101B-9397-08002B2CF9AE}" pid="35" name="IVID274B1CF5">
    <vt:lpwstr/>
  </property>
  <property fmtid="{D5CDD505-2E9C-101B-9397-08002B2CF9AE}" pid="36" name="IVID2B4E17FA">
    <vt:lpwstr/>
  </property>
  <property fmtid="{D5CDD505-2E9C-101B-9397-08002B2CF9AE}" pid="37" name="IVID253D11EF">
    <vt:lpwstr/>
  </property>
  <property fmtid="{D5CDD505-2E9C-101B-9397-08002B2CF9AE}" pid="38" name="IVID102124BA">
    <vt:lpwstr/>
  </property>
  <property fmtid="{D5CDD505-2E9C-101B-9397-08002B2CF9AE}" pid="39" name="IVID3D1509D0">
    <vt:lpwstr/>
  </property>
  <property fmtid="{D5CDD505-2E9C-101B-9397-08002B2CF9AE}" pid="40" name="IVID35641901">
    <vt:lpwstr/>
  </property>
  <property fmtid="{D5CDD505-2E9C-101B-9397-08002B2CF9AE}" pid="41" name="IVID45E1ED9">
    <vt:lpwstr/>
  </property>
  <property fmtid="{D5CDD505-2E9C-101B-9397-08002B2CF9AE}" pid="42" name="IVID324113D1">
    <vt:lpwstr/>
  </property>
  <property fmtid="{D5CDD505-2E9C-101B-9397-08002B2CF9AE}" pid="43" name="IVID1A2D1903">
    <vt:lpwstr/>
  </property>
  <property fmtid="{D5CDD505-2E9C-101B-9397-08002B2CF9AE}" pid="44" name="IVID222F6E42">
    <vt:lpwstr/>
  </property>
  <property fmtid="{D5CDD505-2E9C-101B-9397-08002B2CF9AE}" pid="45" name="IVID137012E9">
    <vt:lpwstr/>
  </property>
  <property fmtid="{D5CDD505-2E9C-101B-9397-08002B2CF9AE}" pid="46" name="IVID3D4D17F3">
    <vt:lpwstr/>
  </property>
  <property fmtid="{D5CDD505-2E9C-101B-9397-08002B2CF9AE}" pid="47" name="IVID2F2214CF">
    <vt:lpwstr/>
  </property>
  <property fmtid="{D5CDD505-2E9C-101B-9397-08002B2CF9AE}" pid="48" name="IVID212812E2">
    <vt:lpwstr/>
  </property>
  <property fmtid="{D5CDD505-2E9C-101B-9397-08002B2CF9AE}" pid="49" name="IVID174513DF">
    <vt:lpwstr/>
  </property>
  <property fmtid="{D5CDD505-2E9C-101B-9397-08002B2CF9AE}" pid="50" name="IVID14481408">
    <vt:lpwstr/>
  </property>
  <property fmtid="{D5CDD505-2E9C-101B-9397-08002B2CF9AE}" pid="51" name="IVID2E670A05">
    <vt:lpwstr/>
  </property>
  <property fmtid="{D5CDD505-2E9C-101B-9397-08002B2CF9AE}" pid="52" name="IVID2A161305">
    <vt:lpwstr/>
  </property>
  <property fmtid="{D5CDD505-2E9C-101B-9397-08002B2CF9AE}" pid="53" name="IVID173E1206">
    <vt:lpwstr/>
  </property>
  <property fmtid="{D5CDD505-2E9C-101B-9397-08002B2CF9AE}" pid="54" name="IVID232310EC">
    <vt:lpwstr/>
  </property>
  <property fmtid="{D5CDD505-2E9C-101B-9397-08002B2CF9AE}" pid="55" name="IVID133D1AE5">
    <vt:lpwstr/>
  </property>
  <property fmtid="{D5CDD505-2E9C-101B-9397-08002B2CF9AE}" pid="56" name="IVIDF6113D9">
    <vt:lpwstr/>
  </property>
  <property fmtid="{D5CDD505-2E9C-101B-9397-08002B2CF9AE}" pid="57" name="IVID362E14DB">
    <vt:lpwstr/>
  </property>
  <property fmtid="{D5CDD505-2E9C-101B-9397-08002B2CF9AE}" pid="58" name="IVID1F6511DB">
    <vt:lpwstr/>
  </property>
  <property fmtid="{D5CDD505-2E9C-101B-9397-08002B2CF9AE}" pid="59" name="IVID3F1D10E8">
    <vt:lpwstr/>
  </property>
  <property fmtid="{D5CDD505-2E9C-101B-9397-08002B2CF9AE}" pid="60" name="IVID144313EE">
    <vt:lpwstr/>
  </property>
  <property fmtid="{D5CDD505-2E9C-101B-9397-08002B2CF9AE}" pid="61" name="IVID272C0FEF">
    <vt:lpwstr/>
  </property>
  <property fmtid="{D5CDD505-2E9C-101B-9397-08002B2CF9AE}" pid="62" name="IVID240A1504">
    <vt:lpwstr/>
  </property>
  <property fmtid="{D5CDD505-2E9C-101B-9397-08002B2CF9AE}" pid="63" name="IVID2E511106">
    <vt:lpwstr/>
  </property>
  <property fmtid="{D5CDD505-2E9C-101B-9397-08002B2CF9AE}" pid="64" name="IVID2A6D14EB">
    <vt:lpwstr/>
  </property>
  <property fmtid="{D5CDD505-2E9C-101B-9397-08002B2CF9AE}" pid="65" name="IVID386F14FA">
    <vt:lpwstr/>
  </property>
  <property fmtid="{D5CDD505-2E9C-101B-9397-08002B2CF9AE}" pid="66" name="IVIDA1B07F3">
    <vt:lpwstr/>
  </property>
  <property fmtid="{D5CDD505-2E9C-101B-9397-08002B2CF9AE}" pid="67" name="IVID2A6715D8">
    <vt:lpwstr/>
  </property>
  <property fmtid="{D5CDD505-2E9C-101B-9397-08002B2CF9AE}" pid="68" name="IVID222D19FF">
    <vt:lpwstr/>
  </property>
  <property fmtid="{D5CDD505-2E9C-101B-9397-08002B2CF9AE}" pid="69" name="IVID2D4D15EB">
    <vt:lpwstr/>
  </property>
  <property fmtid="{D5CDD505-2E9C-101B-9397-08002B2CF9AE}" pid="70" name="IVID1A3517F4">
    <vt:lpwstr/>
  </property>
  <property fmtid="{D5CDD505-2E9C-101B-9397-08002B2CF9AE}" pid="71" name="IVID2B0E1302">
    <vt:lpwstr/>
  </property>
  <property fmtid="{D5CDD505-2E9C-101B-9397-08002B2CF9AE}" pid="72" name="IVID332E19D7">
    <vt:lpwstr/>
  </property>
  <property fmtid="{D5CDD505-2E9C-101B-9397-08002B2CF9AE}" pid="73" name="IVID22261800">
    <vt:lpwstr/>
  </property>
  <property fmtid="{D5CDD505-2E9C-101B-9397-08002B2CF9AE}" pid="74" name="IVID325116DE">
    <vt:lpwstr/>
  </property>
  <property fmtid="{D5CDD505-2E9C-101B-9397-08002B2CF9AE}" pid="75" name="IVID81113D2">
    <vt:lpwstr/>
  </property>
  <property fmtid="{D5CDD505-2E9C-101B-9397-08002B2CF9AE}" pid="76" name="IVID1D231201">
    <vt:lpwstr/>
  </property>
  <property fmtid="{D5CDD505-2E9C-101B-9397-08002B2CF9AE}" pid="77" name="IVID366A14F0">
    <vt:lpwstr/>
  </property>
  <property fmtid="{D5CDD505-2E9C-101B-9397-08002B2CF9AE}" pid="78" name="IVID316311F9">
    <vt:lpwstr/>
  </property>
  <property fmtid="{D5CDD505-2E9C-101B-9397-08002B2CF9AE}" pid="79" name="IVIDE0715F1">
    <vt:lpwstr/>
  </property>
  <property fmtid="{D5CDD505-2E9C-101B-9397-08002B2CF9AE}" pid="80" name="IVID3B5816EC">
    <vt:lpwstr/>
  </property>
  <property fmtid="{D5CDD505-2E9C-101B-9397-08002B2CF9AE}" pid="81" name="IVID351414F8">
    <vt:lpwstr/>
  </property>
  <property fmtid="{D5CDD505-2E9C-101B-9397-08002B2CF9AE}" pid="82" name="IVID2F251AE7">
    <vt:lpwstr/>
  </property>
  <property fmtid="{D5CDD505-2E9C-101B-9397-08002B2CF9AE}" pid="83" name="IVID2A5E1D03">
    <vt:lpwstr/>
  </property>
  <property fmtid="{D5CDD505-2E9C-101B-9397-08002B2CF9AE}" pid="84" name="IVID306310DF">
    <vt:lpwstr/>
  </property>
  <property fmtid="{D5CDD505-2E9C-101B-9397-08002B2CF9AE}" pid="85" name="IVID266F16CF">
    <vt:lpwstr/>
  </property>
  <property fmtid="{D5CDD505-2E9C-101B-9397-08002B2CF9AE}" pid="86" name="IVID307414D1">
    <vt:lpwstr/>
  </property>
  <property fmtid="{D5CDD505-2E9C-101B-9397-08002B2CF9AE}" pid="87" name="IVID344B1400">
    <vt:lpwstr/>
  </property>
  <property fmtid="{D5CDD505-2E9C-101B-9397-08002B2CF9AE}" pid="88" name="IVID135B1DF5">
    <vt:lpwstr/>
  </property>
  <property fmtid="{D5CDD505-2E9C-101B-9397-08002B2CF9AE}" pid="89" name="IVID1A3716D3">
    <vt:lpwstr/>
  </property>
  <property fmtid="{D5CDD505-2E9C-101B-9397-08002B2CF9AE}" pid="90" name="IVIDD1916DB">
    <vt:lpwstr/>
  </property>
  <property fmtid="{D5CDD505-2E9C-101B-9397-08002B2CF9AE}" pid="91" name="IVID11431AF1">
    <vt:lpwstr/>
  </property>
  <property fmtid="{D5CDD505-2E9C-101B-9397-08002B2CF9AE}" pid="92" name="IVID1B2C19F3">
    <vt:lpwstr/>
  </property>
  <property fmtid="{D5CDD505-2E9C-101B-9397-08002B2CF9AE}" pid="93" name="IVIDD5E0FE6">
    <vt:lpwstr/>
  </property>
  <property fmtid="{D5CDD505-2E9C-101B-9397-08002B2CF9AE}" pid="94" name="IVID162D1605">
    <vt:lpwstr/>
  </property>
  <property fmtid="{D5CDD505-2E9C-101B-9397-08002B2CF9AE}" pid="95" name="IVID28741007">
    <vt:lpwstr/>
  </property>
  <property fmtid="{D5CDD505-2E9C-101B-9397-08002B2CF9AE}" pid="96" name="IVID2A3614FA">
    <vt:lpwstr/>
  </property>
  <property fmtid="{D5CDD505-2E9C-101B-9397-08002B2CF9AE}" pid="97" name="IVID15231CDF">
    <vt:lpwstr/>
  </property>
  <property fmtid="{D5CDD505-2E9C-101B-9397-08002B2CF9AE}" pid="98" name="IVID322814F3">
    <vt:lpwstr/>
  </property>
  <property fmtid="{D5CDD505-2E9C-101B-9397-08002B2CF9AE}" pid="99" name="IVID2F6C14EF">
    <vt:lpwstr/>
  </property>
  <property fmtid="{D5CDD505-2E9C-101B-9397-08002B2CF9AE}" pid="100" name="IVID252617FB">
    <vt:lpwstr/>
  </property>
  <property fmtid="{D5CDD505-2E9C-101B-9397-08002B2CF9AE}" pid="101" name="IVIDA0D1BD8">
    <vt:lpwstr/>
  </property>
  <property fmtid="{D5CDD505-2E9C-101B-9397-08002B2CF9AE}" pid="102" name="IVID3E4418F8">
    <vt:lpwstr/>
  </property>
  <property fmtid="{D5CDD505-2E9C-101B-9397-08002B2CF9AE}" pid="103" name="IVID18751B08">
    <vt:lpwstr/>
  </property>
  <property fmtid="{D5CDD505-2E9C-101B-9397-08002B2CF9AE}" pid="104" name="IVID242E11FA">
    <vt:lpwstr/>
  </property>
  <property fmtid="{D5CDD505-2E9C-101B-9397-08002B2CF9AE}" pid="105" name="IVID2C5B17D5">
    <vt:lpwstr/>
  </property>
  <property fmtid="{D5CDD505-2E9C-101B-9397-08002B2CF9AE}" pid="106" name="IVID1D4D0E00">
    <vt:lpwstr/>
  </property>
  <property fmtid="{D5CDD505-2E9C-101B-9397-08002B2CF9AE}" pid="107" name="IVID176B1807">
    <vt:lpwstr/>
  </property>
  <property fmtid="{D5CDD505-2E9C-101B-9397-08002B2CF9AE}" pid="108" name="IVID1C4C1ED2">
    <vt:lpwstr/>
  </property>
  <property fmtid="{D5CDD505-2E9C-101B-9397-08002B2CF9AE}" pid="109" name="IVID11FD2D12">
    <vt:lpwstr/>
  </property>
  <property fmtid="{D5CDD505-2E9C-101B-9397-08002B2CF9AE}" pid="110" name="IVID3B3714D9">
    <vt:lpwstr/>
  </property>
  <property fmtid="{D5CDD505-2E9C-101B-9397-08002B2CF9AE}" pid="111" name="IVID3C0F12FC">
    <vt:lpwstr/>
  </property>
  <property fmtid="{D5CDD505-2E9C-101B-9397-08002B2CF9AE}" pid="112" name="IVID9161D0A">
    <vt:lpwstr/>
  </property>
  <property fmtid="{D5CDD505-2E9C-101B-9397-08002B2CF9AE}" pid="113" name="IVID3B2A17F7">
    <vt:lpwstr/>
  </property>
  <property fmtid="{D5CDD505-2E9C-101B-9397-08002B2CF9AE}" pid="114" name="IVID215117D4">
    <vt:lpwstr/>
  </property>
  <property fmtid="{D5CDD505-2E9C-101B-9397-08002B2CF9AE}" pid="115" name="IVID2A610EE1">
    <vt:lpwstr/>
  </property>
  <property fmtid="{D5CDD505-2E9C-101B-9397-08002B2CF9AE}" pid="116" name="IVID32671609">
    <vt:lpwstr/>
  </property>
  <property fmtid="{D5CDD505-2E9C-101B-9397-08002B2CF9AE}" pid="117" name="IVIDD4F1BF3">
    <vt:lpwstr/>
  </property>
</Properties>
</file>